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ssaabloy-my.sharepoint.com/personal/tyler_hughes_assaabloy_com/Documents/Desktop/Boston College/SurveyMonkey/Data/"/>
    </mc:Choice>
  </mc:AlternateContent>
  <xr:revisionPtr revIDLastSave="143" documentId="11_7A2D0A16C3D14A5C6C330E251C7AF2C1E8D4A365" xr6:coauthVersionLast="47" xr6:coauthVersionMax="47" xr10:uidLastSave="{6198FE91-648E-4621-985A-BE824D88DBD1}"/>
  <bookViews>
    <workbookView xWindow="28680" yWindow="-544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2" i="1"/>
  <c r="R2" i="1" l="1"/>
  <c r="Q2" i="1"/>
  <c r="O2" i="1"/>
  <c r="U2" i="1"/>
  <c r="X2" i="1"/>
  <c r="W2" i="1"/>
  <c r="V2" i="1"/>
  <c r="T2" i="1"/>
  <c r="S2" i="1"/>
</calcChain>
</file>

<file path=xl/sharedStrings.xml><?xml version="1.0" encoding="utf-8"?>
<sst xmlns="http://schemas.openxmlformats.org/spreadsheetml/2006/main" count="134" uniqueCount="134">
  <si>
    <t>Query</t>
  </si>
  <si>
    <t>Expected articles</t>
  </si>
  <si>
    <t>Actual search results</t>
  </si>
  <si>
    <t>create a multi-language survey</t>
  </si>
  <si>
    <r>
      <rPr>
        <u/>
        <sz val="11"/>
        <color rgb="FF1155CC"/>
        <rFont val="&quot;Aptos Narrow&quot;, sans-serif"/>
      </rPr>
      <t>https://help.surveymonkey.com/en/surveymonkey/manage/multilingual-surveys/</t>
    </r>
  </si>
  <si>
    <t>what’s the difference between skip logic and branching</t>
  </si>
  <si>
    <r>
      <rPr>
        <u/>
        <sz val="11"/>
        <color rgb="FF1155CC"/>
        <rFont val="&quot;Aptos Narrow&quot;, sans-serif"/>
      </rPr>
      <t>https://help.surveymonkey.com/en/surveymonkey/create/logic-options/</t>
    </r>
  </si>
  <si>
    <t>how do I view survey completion rates</t>
  </si>
  <si>
    <r>
      <rPr>
        <u/>
        <sz val="11"/>
        <color rgb="FF1155CC"/>
        <rFont val="&quot;Aptos Narrow&quot;, sans-serif"/>
      </rPr>
      <t>https://help.surveymonkey.com/en/surveymonkey/analyze/viewing-benchmarks/</t>
    </r>
  </si>
  <si>
    <t>what happens when I upgrade my plan</t>
  </si>
  <si>
    <r>
      <rPr>
        <u/>
        <sz val="11"/>
        <color rgb="FF1155CC"/>
        <rFont val="&quot;Aptos Narrow&quot;, sans-serif"/>
      </rPr>
      <t>https://help.surveymonkey.com/en/surveymonkey/billing/upgrading/</t>
    </r>
  </si>
  <si>
    <t>can I add a reward for my survey</t>
  </si>
  <si>
    <r>
      <rPr>
        <u/>
        <sz val="11"/>
        <color rgb="FF1155CC"/>
        <rFont val="&quot;Aptos Narrow&quot;, sans-serif"/>
      </rPr>
      <t>https://help.surveymonkey.com/en/surveymonkey/create/adding-rewards/</t>
    </r>
  </si>
  <si>
    <t>make responses anonymous</t>
  </si>
  <si>
    <r>
      <rPr>
        <u/>
        <sz val="11"/>
        <color rgb="FF1155CC"/>
        <rFont val="&quot;Aptos Narrow&quot;, sans-serif"/>
      </rPr>
      <t>https://help.surveymonkey.com/en/surveymonkey/send/anonymous-responses/</t>
    </r>
  </si>
  <si>
    <t>how to delete a survey</t>
  </si>
  <si>
    <r>
      <rPr>
        <u/>
        <sz val="11"/>
        <color rgb="FF1155CC"/>
        <rFont val="&quot;Aptos Narrow&quot;, sans-serif"/>
      </rPr>
      <t>https://help.surveymonkey.com/en/surveymonkey/manage/survey-deletion/</t>
    </r>
  </si>
  <si>
    <t>randomize order of survey questions</t>
  </si>
  <si>
    <r>
      <rPr>
        <u/>
        <sz val="11"/>
        <color rgb="FF1155CC"/>
        <rFont val="&quot;Aptos Narrow&quot;, sans-serif"/>
      </rPr>
      <t>https://help.surveymonkey.com/en/surveymonkey/create/question-page-randomization/</t>
    </r>
  </si>
  <si>
    <t>add progress bar to my survey</t>
  </si>
  <si>
    <t>https://help.surveymonkey.com/en/surveymonkey/create/progress-bar/</t>
  </si>
  <si>
    <t>how to preview survey before sending</t>
  </si>
  <si>
    <r>
      <rPr>
        <u/>
        <sz val="11"/>
        <color rgb="FF1155CC"/>
        <rFont val="&quot;Aptos Narrow&quot;, sans-serif"/>
      </rPr>
      <t>https://help.surveymonkey.com/en/surveymonkey/create/previewing-testing/</t>
    </r>
  </si>
  <si>
    <t>how to A/B test a survey</t>
  </si>
  <si>
    <r>
      <rPr>
        <u/>
        <sz val="11"/>
        <color rgb="FF1155CC"/>
        <rFont val="&quot;Aptos Narrow&quot;, sans-serif"/>
      </rPr>
      <t>https://help.surveymonkey.com/en/surveymonkey/create/ab-tests/</t>
    </r>
  </si>
  <si>
    <t>do you have a nonprofit discount</t>
  </si>
  <si>
    <r>
      <rPr>
        <u/>
        <sz val="11"/>
        <color rgb="FF1155CC"/>
        <rFont val="&quot;Aptos Narrow&quot;, sans-serif"/>
      </rPr>
      <t>https://help.surveymonkey.com/en/surveymonkey/billing/discounts/</t>
    </r>
  </si>
  <si>
    <t>transfer survey to another account</t>
  </si>
  <si>
    <r>
      <rPr>
        <u/>
        <sz val="11"/>
        <color rgb="FF1155CC"/>
        <rFont val="&quot;Aptos Narrow&quot;, sans-serif"/>
      </rPr>
      <t>https://help.surveymonkey.com/en/surveymonkey/manage/transferring-surveys/</t>
    </r>
  </si>
  <si>
    <t>how to use AI to summarize responses</t>
  </si>
  <si>
    <r>
      <rPr>
        <u/>
        <sz val="11"/>
        <color rgb="FF1155CC"/>
        <rFont val="&quot;Aptos Narrow&quot;, sans-serif"/>
      </rPr>
      <t>https://help.surveymonkey.com/en/surveymonkey/analyze/analyze-with-ai/</t>
    </r>
  </si>
  <si>
    <t>make a quiz with right and wrong answers</t>
  </si>
  <si>
    <r>
      <rPr>
        <u/>
        <sz val="11"/>
        <color rgb="FF1155CC"/>
        <rFont val="&quot;Aptos Narrow&quot;, sans-serif"/>
      </rPr>
      <t>https://help.surveymonkey.com/en/surveymonkey/create/quizzes/</t>
    </r>
  </si>
  <si>
    <t>how to split traffic between two surveys</t>
  </si>
  <si>
    <r>
      <rPr>
        <u/>
        <sz val="11"/>
        <color rgb="FF1155CC"/>
        <rFont val="&quot;Aptos Narrow&quot;, sans-serif"/>
      </rPr>
      <t>https://help.surveymonkey.com/en/surveymonkey/manage/merging-surveys/</t>
    </r>
  </si>
  <si>
    <t>what is a web link collector</t>
  </si>
  <si>
    <r>
      <rPr>
        <u/>
        <sz val="11"/>
        <color rgb="FF1155CC"/>
        <rFont val="&quot;Aptos Narrow&quot;, sans-serif"/>
      </rPr>
      <t>https://help.surveymonkey.com/en/surveymonkey/send/web-link-collector/</t>
    </r>
  </si>
  <si>
    <t>how to test a survey before going live</t>
  </si>
  <si>
    <r>
      <rPr>
        <u/>
        <sz val="11"/>
        <color rgb="FF1155CC"/>
        <rFont val="&quot;Aptos Narrow&quot;, sans-serif"/>
      </rPr>
      <t>https://help.surveymonkey.com/en/surveymonkey/create/previewing-testing/</t>
    </r>
  </si>
  <si>
    <t>enable verification on survey</t>
  </si>
  <si>
    <r>
      <rPr>
        <u/>
        <sz val="11"/>
        <color rgb="FF1155CC"/>
        <rFont val="&quot;Aptos Narrow&quot;, sans-serif"/>
      </rPr>
      <t>https://help.surveymonkey.com/en/surveymonkey/send/sender-email-address/</t>
    </r>
  </si>
  <si>
    <t>view summary of all survey answers</t>
  </si>
  <si>
    <r>
      <rPr>
        <u/>
        <sz val="11"/>
        <color rgb="FF1155CC"/>
        <rFont val="&quot;Aptos Narrow&quot;, sans-serif"/>
      </rPr>
      <t>https://help.surveymonkey.com/en/surveymonkey/manage/survey-summary/</t>
    </r>
  </si>
  <si>
    <t>is SurveyMonkey HIPAA compliant</t>
  </si>
  <si>
    <r>
      <rPr>
        <u/>
        <sz val="11"/>
        <color rgb="FF1155CC"/>
        <rFont val="&quot;Aptos Narrow&quot;, sans-serif"/>
      </rPr>
      <t>https://help.surveymonkey.com/en/surveymonkey/policy/hipaa/</t>
    </r>
  </si>
  <si>
    <t>where is my survey data stored</t>
  </si>
  <si>
    <r>
      <rPr>
        <u/>
        <sz val="11"/>
        <color rgb="FF1155CC"/>
        <rFont val="&quot;Aptos Narrow&quot;, sans-serif"/>
      </rPr>
      <t>https://help.surveymonkey.com/en/surveymonkey/policy/surveymonkey-data/</t>
    </r>
  </si>
  <si>
    <t>can I set survey questions as required</t>
  </si>
  <si>
    <r>
      <rPr>
        <u/>
        <sz val="11"/>
        <color rgb="FF1155CC"/>
        <rFont val="&quot;Aptos Narrow&quot;, sans-serif"/>
      </rPr>
      <t>https://help.surveymonkey.com/en/surveymonkey/create/required-questions/</t>
    </r>
  </si>
  <si>
    <t>how do I change the survey title or URL</t>
  </si>
  <si>
    <r>
      <rPr>
        <u/>
        <sz val="11"/>
        <color rgb="FF1155CC"/>
        <rFont val="&quot;Aptos Narrow&quot;, sans-serif"/>
      </rPr>
      <t>https://help.surveymonkey.com/en/surveymonkey/create/survey-title/</t>
    </r>
  </si>
  <si>
    <t>can I merge results from multiple collectors</t>
  </si>
  <si>
    <r>
      <rPr>
        <u/>
        <sz val="11"/>
        <color rgb="FF1155CC"/>
        <rFont val="&quot;Aptos Narrow&quot;, sans-serif"/>
      </rPr>
      <t>https://help.surveymonkey.com/en/surveymonkey/manage/merging-surveys/</t>
    </r>
  </si>
  <si>
    <t>how do I limit survey access to certain IP addresses</t>
  </si>
  <si>
    <r>
      <rPr>
        <u/>
        <sz val="11"/>
        <color rgb="FF1155CC"/>
        <rFont val="&quot;Aptos Narrow&quot;, sans-serif"/>
      </rPr>
      <t>https://help.surveymonkey.com/en/surveymonkey/send/restricting-survey-access/</t>
    </r>
  </si>
  <si>
    <t>how can I ensure respondents are reading the questions</t>
  </si>
  <si>
    <r>
      <rPr>
        <u/>
        <sz val="11"/>
        <color rgb="FF1155CC"/>
        <rFont val="&quot;Aptos Narrow&quot;, sans-serif"/>
      </rPr>
      <t>https://help.surveymonkey.com/en/surveymonkey/create/trap-questions/</t>
    </r>
  </si>
  <si>
    <t>can I display results in PowerBI</t>
  </si>
  <si>
    <r>
      <rPr>
        <u/>
        <sz val="11"/>
        <color rgb="FF1155CC"/>
        <rFont val="&quot;Aptos Narrow&quot;, sans-serif"/>
      </rPr>
      <t>https://help.surveymonkey.com/en/surveymonkey/integrations/microsoft-power-bi-integration/</t>
    </r>
  </si>
  <si>
    <t>can I exclude respondents that skipped questions</t>
  </si>
  <si>
    <r>
      <rPr>
        <u/>
        <sz val="11"/>
        <color rgb="FF1155CC"/>
        <rFont val="&quot;Aptos Narrow&quot;, sans-serif"/>
      </rPr>
      <t>https://help.surveymonkey.com/en/surveymonkey/analyze/skipped-questions/</t>
    </r>
  </si>
  <si>
    <t>can I embed a survey on my website</t>
  </si>
  <si>
    <r>
      <rPr>
        <u/>
        <sz val="11"/>
        <color rgb="FF1155CC"/>
        <rFont val="&quot;Aptos Narrow&quot;, sans-serif"/>
      </rPr>
      <t>https://help.surveymonkey.com/en/surveymonkey/send/website-collector/</t>
    </r>
  </si>
  <si>
    <t>how to change question font size</t>
  </si>
  <si>
    <t>https://help.surveymonkey.com/en/surveymonkey/create/question-size-layout/</t>
  </si>
  <si>
    <t>export results by question</t>
  </si>
  <si>
    <r>
      <rPr>
        <u/>
        <sz val="11"/>
        <color rgb="FF1155CC"/>
        <rFont val="&quot;Aptos Narrow&quot;, sans-serif"/>
      </rPr>
      <t>https://help.surveymonkey.com/en/surveymonkey/analyze/exporting-individual-questions/</t>
    </r>
  </si>
  <si>
    <t>how do I view individual responses</t>
  </si>
  <si>
    <r>
      <rPr>
        <u/>
        <sz val="11"/>
        <color rgb="FF1155CC"/>
        <rFont val="&quot;Aptos Narrow&quot;, sans-serif"/>
      </rPr>
      <t>https://help.surveymonkey.com/en/surveymonkey/analyze/individual-responses/</t>
    </r>
  </si>
  <si>
    <t>filter responses by custom variable</t>
  </si>
  <si>
    <r>
      <rPr>
        <u/>
        <sz val="11"/>
        <color rgb="FF1155CC"/>
        <rFont val="&quot;Aptos Narrow&quot;, sans-serif"/>
      </rPr>
      <t>https://help.surveymonkey.com/en/surveymonkey/analyze/filter-rules/</t>
    </r>
  </si>
  <si>
    <t>how to switch from monthly to yearly billing</t>
  </si>
  <si>
    <r>
      <rPr>
        <u/>
        <sz val="11"/>
        <color rgb="FF1155CC"/>
        <rFont val="&quot;Aptos Narrow&quot;, sans-serif"/>
      </rPr>
      <t>https://help.surveymonkey.com/en/surveymonkey/billing/monthly-payment-option/</t>
    </r>
  </si>
  <si>
    <t>can I copy questions from one survey to another</t>
  </si>
  <si>
    <r>
      <rPr>
        <u/>
        <sz val="11"/>
        <color rgb="FF1155CC"/>
        <rFont val="&quot;Aptos Narrow&quot;, sans-serif"/>
      </rPr>
      <t>https://help.surveymonkey.com/en/surveymonkey/manage/copying-surveys/</t>
    </r>
  </si>
  <si>
    <t>can I integrate SurveyMonkey with Mailchimp</t>
  </si>
  <si>
    <r>
      <rPr>
        <u/>
        <sz val="11"/>
        <color rgb="FF1155CC"/>
        <rFont val="&quot;Aptos Narrow&quot;, sans-serif"/>
      </rPr>
      <t>https://help.surveymonkey.com/en/surveymonkey/integrations/mailchimp-integration/</t>
    </r>
  </si>
  <si>
    <t>can I edit my survey after publishing</t>
  </si>
  <si>
    <r>
      <rPr>
        <u/>
        <sz val="11"/>
        <color rgb="FF1155CC"/>
        <rFont val="&quot;Aptos Narrow&quot;, sans-serif"/>
      </rPr>
      <t>https://help.surveymonkey.com/en/surveymonkey/manage/editing-live-surveys/</t>
    </r>
  </si>
  <si>
    <t>stop collecting responses after 100 people</t>
  </si>
  <si>
    <r>
      <rPr>
        <u/>
        <sz val="11"/>
        <color rgb="FF1155CC"/>
        <rFont val="&quot;Aptos Narrow&quot;, sans-serif"/>
      </rPr>
      <t>https://help.surveymonkey.com/en/surveymonkey/send/limiting-answer-choices/</t>
    </r>
  </si>
  <si>
    <t>how to insert custom branding</t>
  </si>
  <si>
    <r>
      <rPr>
        <u/>
        <sz val="11"/>
        <color rgb="FF1155CC"/>
        <rFont val="&quot;Aptos Narrow&quot;, sans-serif"/>
      </rPr>
      <t>https://help.surveymonkey.com/en/surveymonkey/create/survey-branding/</t>
    </r>
  </si>
  <si>
    <t>download survey results as PDF</t>
  </si>
  <si>
    <r>
      <rPr>
        <u/>
        <sz val="11"/>
        <color rgb="FF1155CC"/>
        <rFont val="&quot;Aptos Narrow&quot;, sans-serif"/>
      </rPr>
      <t>https://help.surveymonkey.com/en/surveymonkey/analyze/pdf-exports/</t>
    </r>
  </si>
  <si>
    <t>how to use survey logic</t>
  </si>
  <si>
    <r>
      <rPr>
        <u/>
        <sz val="11"/>
        <color rgb="FF1155CC"/>
        <rFont val="&quot;Aptos Narrow&quot;, sans-serif"/>
      </rPr>
      <t>https://help.surveymonkey.com/en/surveymonkey/create/logic-options/</t>
    </r>
  </si>
  <si>
    <t>automatically redirect after completing survey</t>
  </si>
  <si>
    <r>
      <rPr>
        <u/>
        <sz val="11"/>
        <color rgb="FF1155CC"/>
        <rFont val="&quot;Aptos Narrow&quot;, sans-serif"/>
      </rPr>
      <t>https://help.surveymonkey.com/en/surveymonkey/create/survey-end-page/</t>
    </r>
  </si>
  <si>
    <t>how do I create a survey template</t>
  </si>
  <si>
    <r>
      <rPr>
        <u/>
        <sz val="11"/>
        <color rgb="FF1155CC"/>
        <rFont val="&quot;Aptos Narrow&quot;, sans-serif"/>
      </rPr>
      <t>https://help.surveymonkey.com/en/surveymonkey/create/using-templates/</t>
    </r>
  </si>
  <si>
    <r>
      <rPr>
        <u/>
        <sz val="11"/>
        <color rgb="FF1155CC"/>
        <rFont val="&quot;Aptos Narrow&quot;, sans-serif"/>
      </rPr>
      <t>https://help.surveymonkey.com/en/surveymonkey/teams/access-levels/</t>
    </r>
  </si>
  <si>
    <t>do responses auto-save</t>
  </si>
  <si>
    <r>
      <rPr>
        <u/>
        <sz val="11"/>
        <color rgb="FF1155CC"/>
        <rFont val="&quot;Aptos Narrow&quot;, sans-serif"/>
      </rPr>
      <t>https://help.surveymonkey.com/en/surveymonkey/send/response-recording/</t>
    </r>
  </si>
  <si>
    <t>limit one response per person</t>
  </si>
  <si>
    <r>
      <rPr>
        <u/>
        <sz val="11"/>
        <color rgb="FF1155CC"/>
        <rFont val="&quot;Aptos Narrow&quot;, sans-serif"/>
      </rPr>
      <t>https://help.surveymonkey.com/en/surveymonkey/send/limiting-answer-choices/</t>
    </r>
  </si>
  <si>
    <t>how do I track who filled out my survey</t>
  </si>
  <si>
    <r>
      <rPr>
        <u/>
        <sz val="11"/>
        <color rgb="FF1155CC"/>
        <rFont val="&quot;Aptos Narrow&quot;, sans-serif"/>
      </rPr>
      <t>https://help.surveymonkey.com/en/surveymonkey/send/tracking-email-invitations/</t>
    </r>
  </si>
  <si>
    <t>how do I share results with others</t>
  </si>
  <si>
    <r>
      <rPr>
        <u/>
        <sz val="11"/>
        <color rgb="FF1155CC"/>
        <rFont val="&quot;Aptos Narrow&quot;, sans-serif"/>
      </rPr>
      <t>https://help.surveymonkey.com/en/surveymonkey/analyze/sharing-survey-results/</t>
    </r>
  </si>
  <si>
    <t>can I score survey answers</t>
  </si>
  <si>
    <r>
      <rPr>
        <u/>
        <sz val="11"/>
        <color rgb="FF1155CC"/>
        <rFont val="&quot;Aptos Narrow&quot;, sans-serif"/>
      </rPr>
      <t>https://help.surveymonkey.com/en/surveymonkey/create/survey-score/</t>
    </r>
  </si>
  <si>
    <t>can I password protect my survey</t>
  </si>
  <si>
    <r>
      <rPr>
        <u/>
        <sz val="11"/>
        <color rgb="FF1155CC"/>
        <rFont val="&quot;Aptos Narrow&quot;, sans-serif"/>
      </rPr>
      <t>https://help.surveymonkey.com/en/surveymonkey/send/restricting-survey-access/</t>
    </r>
  </si>
  <si>
    <t>send reminder to people who didn’t complete survey</t>
  </si>
  <si>
    <r>
      <rPr>
        <u/>
        <sz val="11"/>
        <color rgb="FF1155CC"/>
        <rFont val="&quot;Aptos Narrow&quot;, sans-serif"/>
      </rPr>
      <t>https://help.surveymonkey.com/en/surveymonkey/send/reminder-thank-you-emails/</t>
    </r>
  </si>
  <si>
    <t>how do I customize the survey theme</t>
  </si>
  <si>
    <r>
      <rPr>
        <u/>
        <sz val="11"/>
        <color rgb="FF1155CC"/>
        <rFont val="&quot;Aptos Narrow&quot;, sans-serif"/>
      </rPr>
      <t>https://help.surveymonkey.com/en/surveymonkey/create/themes/</t>
    </r>
  </si>
  <si>
    <t>how do I set a deadline for my survey</t>
  </si>
  <si>
    <r>
      <rPr>
        <u/>
        <sz val="11"/>
        <color rgb="FF1155CC"/>
        <rFont val="&quot;Aptos Narrow&quot;, sans-serif"/>
      </rPr>
      <t>https://help.surveymonkey.com/en/surveymonkey/send/cuttoff-date-time/</t>
    </r>
  </si>
  <si>
    <t>how do I resend a survey to the same people</t>
  </si>
  <si>
    <r>
      <rPr>
        <u/>
        <sz val="11"/>
        <color rgb="FF1155CC"/>
        <rFont val="&quot;Aptos Narrow&quot;, sans-serif"/>
      </rPr>
      <t>https://help.surveymonkey.com/en/surveymonkey/send/reminder-thank-you-emails/</t>
    </r>
  </si>
  <si>
    <t>how to cancel a team members access</t>
  </si>
  <si>
    <t>Match Found</t>
  </si>
  <si>
    <t>P@1</t>
  </si>
  <si>
    <t>P@3</t>
  </si>
  <si>
    <t>P@5</t>
  </si>
  <si>
    <t>P@10</t>
  </si>
  <si>
    <t>MRR</t>
  </si>
  <si>
    <t>Average rank when found</t>
  </si>
  <si>
    <t>R@1</t>
  </si>
  <si>
    <t>R@3</t>
  </si>
  <si>
    <t>R@5</t>
  </si>
  <si>
    <t>R@10</t>
  </si>
  <si>
    <t>MRR Average</t>
  </si>
  <si>
    <t>Overall Accuracy</t>
  </si>
  <si>
    <t>Average P@1</t>
  </si>
  <si>
    <t>Average P@3</t>
  </si>
  <si>
    <t>Average P@5</t>
  </si>
  <si>
    <t>Average P@10</t>
  </si>
  <si>
    <t>Average R@1</t>
  </si>
  <si>
    <t>Average R@3</t>
  </si>
  <si>
    <t>Average R@5</t>
  </si>
  <si>
    <t>Average R@10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</si>
</sst>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&quot;Aptos Narrow&quot;"/>
    </font>
    <font>
      <u/>
      <sz val="11"/>
      <color rgb="FF0000FF"/>
      <name val="&quot;Aptos Narrow&quot;"/>
    </font>
    <font>
      <u/>
      <sz val="11"/>
      <color rgb="FF467886"/>
      <name val="&quot;Aptos Narrow&quot;"/>
    </font>
    <font>
      <u/>
      <sz val="11"/>
      <color rgb="FF1155CC"/>
      <name val="&quot;Aptos Narrow&quot;, sans-serif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5" fillId="0" borderId="0" xfId="1"/>
    <xf numFmtId="0" fontId="5" fillId="0" borderId="0" xfId="1" applyFill="1" applyBorder="1"/>
    <xf numFmtId="10" fontId="6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elp.surveymonkey.com/en/surveymonkey/manage/transferring-surveys/" TargetMode="External"/><Relationship Id="rId18" Type="http://schemas.openxmlformats.org/officeDocument/2006/relationships/hyperlink" Target="https://help.surveymonkey.com/en/surveymonkey/create/previewing-testing/" TargetMode="External"/><Relationship Id="rId26" Type="http://schemas.openxmlformats.org/officeDocument/2006/relationships/hyperlink" Target="https://help.surveymonkey.com/en/surveymonkey/send/restricting-survey-access/" TargetMode="External"/><Relationship Id="rId39" Type="http://schemas.openxmlformats.org/officeDocument/2006/relationships/hyperlink" Target="https://help.surveymonkey.com/en/surveymonkey/send/limiting-answer-choices/" TargetMode="External"/><Relationship Id="rId21" Type="http://schemas.openxmlformats.org/officeDocument/2006/relationships/hyperlink" Target="https://help.surveymonkey.com/en/surveymonkey/policy/hipaa/" TargetMode="External"/><Relationship Id="rId34" Type="http://schemas.openxmlformats.org/officeDocument/2006/relationships/hyperlink" Target="https://help.surveymonkey.com/en/surveymonkey/analyze/filter-rules/" TargetMode="External"/><Relationship Id="rId42" Type="http://schemas.openxmlformats.org/officeDocument/2006/relationships/hyperlink" Target="https://help.surveymonkey.com/en/surveymonkey/create/logic-options/" TargetMode="External"/><Relationship Id="rId47" Type="http://schemas.openxmlformats.org/officeDocument/2006/relationships/hyperlink" Target="https://help.surveymonkey.com/en/surveymonkey/send/limiting-answer-choices/" TargetMode="External"/><Relationship Id="rId50" Type="http://schemas.openxmlformats.org/officeDocument/2006/relationships/hyperlink" Target="https://help.surveymonkey.com/en/surveymonkey/create/survey-score/" TargetMode="External"/><Relationship Id="rId55" Type="http://schemas.openxmlformats.org/officeDocument/2006/relationships/hyperlink" Target="https://help.surveymonkey.com/en/surveymonkey/send/reminder-thank-you-emails/" TargetMode="External"/><Relationship Id="rId63" Type="http://schemas.openxmlformats.org/officeDocument/2006/relationships/hyperlink" Target="mailto:R@10" TargetMode="External"/><Relationship Id="rId7" Type="http://schemas.openxmlformats.org/officeDocument/2006/relationships/hyperlink" Target="https://help.surveymonkey.com/en/surveymonkey/manage/survey-deletion/" TargetMode="External"/><Relationship Id="rId2" Type="http://schemas.openxmlformats.org/officeDocument/2006/relationships/hyperlink" Target="https://help.surveymonkey.com/en/surveymonkey/create/logic-options/" TargetMode="External"/><Relationship Id="rId16" Type="http://schemas.openxmlformats.org/officeDocument/2006/relationships/hyperlink" Target="https://help.surveymonkey.com/en/surveymonkey/manage/merging-surveys/" TargetMode="External"/><Relationship Id="rId29" Type="http://schemas.openxmlformats.org/officeDocument/2006/relationships/hyperlink" Target="https://help.surveymonkey.com/en/surveymonkey/analyze/skipped-questions/" TargetMode="External"/><Relationship Id="rId11" Type="http://schemas.openxmlformats.org/officeDocument/2006/relationships/hyperlink" Target="https://help.surveymonkey.com/en/surveymonkey/create/ab-tests/" TargetMode="External"/><Relationship Id="rId24" Type="http://schemas.openxmlformats.org/officeDocument/2006/relationships/hyperlink" Target="https://help.surveymonkey.com/en/surveymonkey/create/survey-title/" TargetMode="External"/><Relationship Id="rId32" Type="http://schemas.openxmlformats.org/officeDocument/2006/relationships/hyperlink" Target="https://help.surveymonkey.com/en/surveymonkey/analyze/exporting-individual-questions/" TargetMode="External"/><Relationship Id="rId37" Type="http://schemas.openxmlformats.org/officeDocument/2006/relationships/hyperlink" Target="https://help.surveymonkey.com/en/surveymonkey/integrations/mailchimp-integration/" TargetMode="External"/><Relationship Id="rId40" Type="http://schemas.openxmlformats.org/officeDocument/2006/relationships/hyperlink" Target="https://help.surveymonkey.com/en/surveymonkey/create/survey-branding/" TargetMode="External"/><Relationship Id="rId45" Type="http://schemas.openxmlformats.org/officeDocument/2006/relationships/hyperlink" Target="https://help.surveymonkey.com/en/surveymonkey/teams/access-levels/" TargetMode="External"/><Relationship Id="rId53" Type="http://schemas.openxmlformats.org/officeDocument/2006/relationships/hyperlink" Target="https://help.surveymonkey.com/en/surveymonkey/create/themes/" TargetMode="External"/><Relationship Id="rId58" Type="http://schemas.openxmlformats.org/officeDocument/2006/relationships/hyperlink" Target="mailto:P@5" TargetMode="External"/><Relationship Id="rId5" Type="http://schemas.openxmlformats.org/officeDocument/2006/relationships/hyperlink" Target="https://help.surveymonkey.com/en/surveymonkey/create/adding-rewards/" TargetMode="External"/><Relationship Id="rId61" Type="http://schemas.openxmlformats.org/officeDocument/2006/relationships/hyperlink" Target="mailto:R@3" TargetMode="External"/><Relationship Id="rId19" Type="http://schemas.openxmlformats.org/officeDocument/2006/relationships/hyperlink" Target="https://help.surveymonkey.com/en/surveymonkey/send/sender-email-address/" TargetMode="External"/><Relationship Id="rId14" Type="http://schemas.openxmlformats.org/officeDocument/2006/relationships/hyperlink" Target="https://help.surveymonkey.com/en/surveymonkey/analyze/analyze-with-ai/" TargetMode="External"/><Relationship Id="rId22" Type="http://schemas.openxmlformats.org/officeDocument/2006/relationships/hyperlink" Target="https://help.surveymonkey.com/en/surveymonkey/policy/surveymonkey-data/" TargetMode="External"/><Relationship Id="rId27" Type="http://schemas.openxmlformats.org/officeDocument/2006/relationships/hyperlink" Target="https://help.surveymonkey.com/en/surveymonkey/create/trap-questions/" TargetMode="External"/><Relationship Id="rId30" Type="http://schemas.openxmlformats.org/officeDocument/2006/relationships/hyperlink" Target="https://help.surveymonkey.com/en/surveymonkey/send/website-collector/" TargetMode="External"/><Relationship Id="rId35" Type="http://schemas.openxmlformats.org/officeDocument/2006/relationships/hyperlink" Target="https://help.surveymonkey.com/en/surveymonkey/billing/monthly-payment-option/" TargetMode="External"/><Relationship Id="rId43" Type="http://schemas.openxmlformats.org/officeDocument/2006/relationships/hyperlink" Target="https://help.surveymonkey.com/en/surveymonkey/create/survey-end-page/" TargetMode="External"/><Relationship Id="rId48" Type="http://schemas.openxmlformats.org/officeDocument/2006/relationships/hyperlink" Target="https://help.surveymonkey.com/en/surveymonkey/send/tracking-email-invitations/" TargetMode="External"/><Relationship Id="rId56" Type="http://schemas.openxmlformats.org/officeDocument/2006/relationships/hyperlink" Target="mailto:P@1" TargetMode="External"/><Relationship Id="rId8" Type="http://schemas.openxmlformats.org/officeDocument/2006/relationships/hyperlink" Target="https://help.surveymonkey.com/en/surveymonkey/create/question-page-randomization/" TargetMode="External"/><Relationship Id="rId51" Type="http://schemas.openxmlformats.org/officeDocument/2006/relationships/hyperlink" Target="https://help.surveymonkey.com/en/surveymonkey/send/restricting-survey-access/" TargetMode="External"/><Relationship Id="rId3" Type="http://schemas.openxmlformats.org/officeDocument/2006/relationships/hyperlink" Target="https://help.surveymonkey.com/en/surveymonkey/analyze/viewing-benchmarks/" TargetMode="External"/><Relationship Id="rId12" Type="http://schemas.openxmlformats.org/officeDocument/2006/relationships/hyperlink" Target="https://help.surveymonkey.com/en/surveymonkey/billing/discounts/" TargetMode="External"/><Relationship Id="rId17" Type="http://schemas.openxmlformats.org/officeDocument/2006/relationships/hyperlink" Target="https://help.surveymonkey.com/en/surveymonkey/send/web-link-collector/" TargetMode="External"/><Relationship Id="rId25" Type="http://schemas.openxmlformats.org/officeDocument/2006/relationships/hyperlink" Target="https://help.surveymonkey.com/en/surveymonkey/manage/merging-surveys/" TargetMode="External"/><Relationship Id="rId33" Type="http://schemas.openxmlformats.org/officeDocument/2006/relationships/hyperlink" Target="https://help.surveymonkey.com/en/surveymonkey/analyze/individual-responses/" TargetMode="External"/><Relationship Id="rId38" Type="http://schemas.openxmlformats.org/officeDocument/2006/relationships/hyperlink" Target="https://help.surveymonkey.com/en/surveymonkey/manage/editing-live-surveys/" TargetMode="External"/><Relationship Id="rId46" Type="http://schemas.openxmlformats.org/officeDocument/2006/relationships/hyperlink" Target="https://help.surveymonkey.com/en/surveymonkey/send/response-recording/" TargetMode="External"/><Relationship Id="rId59" Type="http://schemas.openxmlformats.org/officeDocument/2006/relationships/hyperlink" Target="mailto:P@10" TargetMode="External"/><Relationship Id="rId20" Type="http://schemas.openxmlformats.org/officeDocument/2006/relationships/hyperlink" Target="https://help.surveymonkey.com/en/surveymonkey/manage/survey-summary/" TargetMode="External"/><Relationship Id="rId41" Type="http://schemas.openxmlformats.org/officeDocument/2006/relationships/hyperlink" Target="https://help.surveymonkey.com/en/surveymonkey/analyze/pdf-exports/" TargetMode="External"/><Relationship Id="rId54" Type="http://schemas.openxmlformats.org/officeDocument/2006/relationships/hyperlink" Target="https://help.surveymonkey.com/en/surveymonkey/send/cuttoff-date-time/" TargetMode="External"/><Relationship Id="rId62" Type="http://schemas.openxmlformats.org/officeDocument/2006/relationships/hyperlink" Target="mailto:R@5" TargetMode="External"/><Relationship Id="rId1" Type="http://schemas.openxmlformats.org/officeDocument/2006/relationships/hyperlink" Target="https://help.surveymonkey.com/en/surveymonkey/manage/multilingual-surveys/" TargetMode="External"/><Relationship Id="rId6" Type="http://schemas.openxmlformats.org/officeDocument/2006/relationships/hyperlink" Target="https://help.surveymonkey.com/en/surveymonkey/send/anonymous-responses/" TargetMode="External"/><Relationship Id="rId15" Type="http://schemas.openxmlformats.org/officeDocument/2006/relationships/hyperlink" Target="https://help.surveymonkey.com/en/surveymonkey/create/quizzes/" TargetMode="External"/><Relationship Id="rId23" Type="http://schemas.openxmlformats.org/officeDocument/2006/relationships/hyperlink" Target="https://help.surveymonkey.com/en/surveymonkey/create/required-questions/" TargetMode="External"/><Relationship Id="rId28" Type="http://schemas.openxmlformats.org/officeDocument/2006/relationships/hyperlink" Target="https://help.surveymonkey.com/en/surveymonkey/integrations/microsoft-power-bi-integration/" TargetMode="External"/><Relationship Id="rId36" Type="http://schemas.openxmlformats.org/officeDocument/2006/relationships/hyperlink" Target="https://help.surveymonkey.com/en/surveymonkey/manage/copying-surveys/" TargetMode="External"/><Relationship Id="rId49" Type="http://schemas.openxmlformats.org/officeDocument/2006/relationships/hyperlink" Target="https://help.surveymonkey.com/en/surveymonkey/analyze/sharing-survey-results/" TargetMode="External"/><Relationship Id="rId57" Type="http://schemas.openxmlformats.org/officeDocument/2006/relationships/hyperlink" Target="mailto:P@3" TargetMode="External"/><Relationship Id="rId10" Type="http://schemas.openxmlformats.org/officeDocument/2006/relationships/hyperlink" Target="https://help.surveymonkey.com/en/surveymonkey/create/previewing-testing/" TargetMode="External"/><Relationship Id="rId31" Type="http://schemas.openxmlformats.org/officeDocument/2006/relationships/hyperlink" Target="https://help.surveymonkey.com/en/surveymonkey/create/question-size-layout/" TargetMode="External"/><Relationship Id="rId44" Type="http://schemas.openxmlformats.org/officeDocument/2006/relationships/hyperlink" Target="https://help.surveymonkey.com/en/surveymonkey/create/using-templates/" TargetMode="External"/><Relationship Id="rId52" Type="http://schemas.openxmlformats.org/officeDocument/2006/relationships/hyperlink" Target="https://help.surveymonkey.com/en/surveymonkey/send/reminder-thank-you-emails/" TargetMode="External"/><Relationship Id="rId60" Type="http://schemas.openxmlformats.org/officeDocument/2006/relationships/hyperlink" Target="mailto:R@1" TargetMode="External"/><Relationship Id="rId4" Type="http://schemas.openxmlformats.org/officeDocument/2006/relationships/hyperlink" Target="https://help.surveymonkey.com/en/surveymonkey/billing/upgrading/" TargetMode="External"/><Relationship Id="rId9" Type="http://schemas.openxmlformats.org/officeDocument/2006/relationships/hyperlink" Target="https://help.surveymonkey.com/en/surveymonkey/create/progress-b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6"/>
  <sheetViews>
    <sheetView tabSelected="1" topLeftCell="A4" zoomScale="115" zoomScaleNormal="115" workbookViewId="0">
      <selection activeCell="E1" sqref="E1:E1048576"/>
    </sheetView>
  </sheetViews>
  <sheetFormatPr defaultColWidth="12.6328125" defaultRowHeight="15.75" customHeight="1"/>
  <cols>
    <col min="1" max="1" width="44.26953125" customWidth="1"/>
    <col min="2" max="2" width="76.26953125" customWidth="1"/>
    <col min="3" max="3" width="21.36328125" customWidth="1"/>
    <col min="14" max="14" width="21.36328125" bestFit="1" customWidth="1"/>
    <col min="16" max="16" width="14.4531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113</v>
      </c>
      <c r="E1" s="5" t="s">
        <v>114</v>
      </c>
      <c r="F1" s="6" t="s">
        <v>115</v>
      </c>
      <c r="G1" s="6" t="s">
        <v>116</v>
      </c>
      <c r="H1" s="5" t="s">
        <v>117</v>
      </c>
      <c r="I1" s="5" t="s">
        <v>120</v>
      </c>
      <c r="J1" s="5" t="s">
        <v>121</v>
      </c>
      <c r="K1" s="5" t="s">
        <v>122</v>
      </c>
      <c r="L1" s="5" t="s">
        <v>123</v>
      </c>
      <c r="M1" s="4" t="s">
        <v>118</v>
      </c>
      <c r="N1" s="4" t="s">
        <v>119</v>
      </c>
      <c r="O1" s="4" t="s">
        <v>124</v>
      </c>
      <c r="P1" s="4" t="s">
        <v>125</v>
      </c>
      <c r="Q1" s="4" t="s">
        <v>126</v>
      </c>
      <c r="R1" s="4" t="s">
        <v>127</v>
      </c>
      <c r="S1" s="4" t="s">
        <v>128</v>
      </c>
      <c r="T1" s="4" t="s">
        <v>129</v>
      </c>
      <c r="U1" s="4" t="s">
        <v>130</v>
      </c>
      <c r="V1" s="4" t="s">
        <v>131</v>
      </c>
      <c r="W1" s="4" t="s">
        <v>132</v>
      </c>
      <c r="X1" s="4" t="s">
        <v>133</v>
      </c>
    </row>
    <row r="2" spans="1:24">
      <c r="A2" s="1" t="s">
        <v>19</v>
      </c>
      <c r="B2" s="3" t="s">
        <v>20</v>
      </c>
      <c r="C2" s="1">
        <v>1</v>
      </c>
      <c r="D2" s="4" t="str">
        <f>IF(C2&lt;&gt;"", "TRUE", "FALSE")</f>
        <v>TRUE</v>
      </c>
      <c r="E2">
        <f>IF(C2=1,1,0)</f>
        <v>1</v>
      </c>
      <c r="F2" s="4">
        <f>IF(AND(C2&lt;&gt;"", C2&lt;=3), 1/3, 0)</f>
        <v>0.33333333333333331</v>
      </c>
      <c r="G2" s="4">
        <f>IF(AND(C2&lt;&gt;"", C2&lt;=5), 1/5, 0)</f>
        <v>0.2</v>
      </c>
      <c r="H2" s="4">
        <f>IF(AND(C2&lt;&gt;"", C2&lt;=10), 1/10, 0)</f>
        <v>0.1</v>
      </c>
      <c r="I2" s="4">
        <f>IF(C2=1, 1, 0)</f>
        <v>1</v>
      </c>
      <c r="J2" s="4">
        <f>IF(AND(C2&lt;&gt;"", C2&lt;=3), 1, 0)</f>
        <v>1</v>
      </c>
      <c r="K2" s="4">
        <f>IF(AND(C2&lt;&gt;"", C2&lt;=5), 1, 0)</f>
        <v>1</v>
      </c>
      <c r="L2" s="4">
        <f>IF(AND(C2&lt;&gt;"", C2&lt;=10), 1, 0)</f>
        <v>1</v>
      </c>
      <c r="M2" s="4">
        <f>IF(C2&lt;&gt;"", 1/C2, 0)</f>
        <v>1</v>
      </c>
      <c r="N2" s="4">
        <f>AVERAGEIF(C:C, "&lt;&gt;", C:C)</f>
        <v>3.1176470588235294</v>
      </c>
      <c r="O2" s="7">
        <f>AVERAGE(M2:M100)</f>
        <v>0.58318313000131172</v>
      </c>
      <c r="P2" s="7">
        <f>51/55</f>
        <v>0.92727272727272725</v>
      </c>
      <c r="Q2" s="7">
        <f t="shared" ref="Q2:X2" si="0">AVERAGE(E2:E100)</f>
        <v>0.43636363636363634</v>
      </c>
      <c r="R2" s="7">
        <f t="shared" si="0"/>
        <v>0.2303030303030304</v>
      </c>
      <c r="S2" s="7">
        <f t="shared" si="0"/>
        <v>0.14909090909090914</v>
      </c>
      <c r="T2" s="7">
        <f t="shared" si="0"/>
        <v>8.7272727272727252E-2</v>
      </c>
      <c r="U2" s="7">
        <f t="shared" si="0"/>
        <v>0.43636363636363634</v>
      </c>
      <c r="V2" s="7">
        <f t="shared" si="0"/>
        <v>0.69090909090909092</v>
      </c>
      <c r="W2" s="7">
        <f t="shared" si="0"/>
        <v>0.74545454545454548</v>
      </c>
      <c r="X2" s="7">
        <f t="shared" si="0"/>
        <v>0.87272727272727268</v>
      </c>
    </row>
    <row r="3" spans="1:24">
      <c r="A3" s="1" t="s">
        <v>11</v>
      </c>
      <c r="B3" s="2" t="s">
        <v>12</v>
      </c>
      <c r="C3" s="1">
        <v>1</v>
      </c>
      <c r="D3" s="4" t="str">
        <f t="shared" ref="D3:D56" si="1">IF(C3&lt;&gt;"", "TRUE", "FALSE")</f>
        <v>TRUE</v>
      </c>
      <c r="E3">
        <f t="shared" ref="E3:E56" si="2">IF(C3=1,1,0)</f>
        <v>1</v>
      </c>
      <c r="F3" s="4">
        <f t="shared" ref="F3:F56" si="3">IF(AND(C3&lt;&gt;"", C3&lt;=3), 1/3, 0)</f>
        <v>0.33333333333333331</v>
      </c>
      <c r="G3" s="4">
        <f t="shared" ref="G3:G56" si="4">IF(AND(C3&lt;&gt;"", C3&lt;=5), 1/5, 0)</f>
        <v>0.2</v>
      </c>
      <c r="H3" s="4">
        <f t="shared" ref="H3:H56" si="5">IF(AND(C3&lt;&gt;"", C3&lt;=10), 1/10, 0)</f>
        <v>0.1</v>
      </c>
      <c r="I3" s="4">
        <f t="shared" ref="I3:I56" si="6">IF(C3=1, 1, 0)</f>
        <v>1</v>
      </c>
      <c r="J3" s="4">
        <f t="shared" ref="J3:J56" si="7">IF(AND(C3&lt;&gt;"", C3&lt;=3), 1, 0)</f>
        <v>1</v>
      </c>
      <c r="K3" s="4">
        <f t="shared" ref="K3:K56" si="8">IF(AND(C3&lt;&gt;"", C3&lt;=5), 1, 0)</f>
        <v>1</v>
      </c>
      <c r="L3" s="4">
        <f t="shared" ref="L3:L56" si="9">IF(AND(C3&lt;&gt;"", C3&lt;=10), 1, 0)</f>
        <v>1</v>
      </c>
      <c r="M3" s="4">
        <f t="shared" ref="M3:M56" si="10">IF(C3&lt;&gt;"", 1/C3, 0)</f>
        <v>1</v>
      </c>
    </row>
    <row r="4" spans="1:24">
      <c r="A4" s="1" t="s">
        <v>57</v>
      </c>
      <c r="B4" s="2" t="s">
        <v>58</v>
      </c>
      <c r="C4" s="1">
        <v>1</v>
      </c>
      <c r="D4" s="4" t="str">
        <f t="shared" si="1"/>
        <v>TRUE</v>
      </c>
      <c r="E4">
        <f t="shared" si="2"/>
        <v>1</v>
      </c>
      <c r="F4" s="4">
        <f t="shared" si="3"/>
        <v>0.33333333333333331</v>
      </c>
      <c r="G4" s="4">
        <f t="shared" si="4"/>
        <v>0.2</v>
      </c>
      <c r="H4" s="4">
        <f t="shared" si="5"/>
        <v>0.1</v>
      </c>
      <c r="I4" s="4">
        <f t="shared" si="6"/>
        <v>1</v>
      </c>
      <c r="J4" s="4">
        <f t="shared" si="7"/>
        <v>1</v>
      </c>
      <c r="K4" s="4">
        <f t="shared" si="8"/>
        <v>1</v>
      </c>
      <c r="L4" s="4">
        <f t="shared" si="9"/>
        <v>1</v>
      </c>
      <c r="M4" s="4">
        <f t="shared" si="10"/>
        <v>1</v>
      </c>
    </row>
    <row r="5" spans="1:24">
      <c r="A5" s="1" t="s">
        <v>51</v>
      </c>
      <c r="B5" s="2" t="s">
        <v>52</v>
      </c>
      <c r="C5" s="1">
        <v>1</v>
      </c>
      <c r="D5" s="4" t="str">
        <f t="shared" si="1"/>
        <v>TRUE</v>
      </c>
      <c r="E5">
        <f t="shared" si="2"/>
        <v>1</v>
      </c>
      <c r="F5" s="4">
        <f t="shared" si="3"/>
        <v>0.33333333333333331</v>
      </c>
      <c r="G5" s="4">
        <f t="shared" si="4"/>
        <v>0.2</v>
      </c>
      <c r="H5" s="4">
        <f t="shared" si="5"/>
        <v>0.1</v>
      </c>
      <c r="I5" s="4">
        <f t="shared" si="6"/>
        <v>1</v>
      </c>
      <c r="J5" s="4">
        <f t="shared" si="7"/>
        <v>1</v>
      </c>
      <c r="K5" s="4">
        <f t="shared" si="8"/>
        <v>1</v>
      </c>
      <c r="L5" s="4">
        <f t="shared" si="9"/>
        <v>1</v>
      </c>
      <c r="M5" s="4">
        <f t="shared" si="10"/>
        <v>1</v>
      </c>
    </row>
    <row r="6" spans="1:24">
      <c r="A6" s="1" t="s">
        <v>47</v>
      </c>
      <c r="B6" s="2" t="s">
        <v>48</v>
      </c>
      <c r="C6" s="1">
        <v>1</v>
      </c>
      <c r="D6" s="4" t="str">
        <f t="shared" si="1"/>
        <v>TRUE</v>
      </c>
      <c r="E6">
        <f t="shared" si="2"/>
        <v>1</v>
      </c>
      <c r="F6" s="4">
        <f t="shared" si="3"/>
        <v>0.33333333333333331</v>
      </c>
      <c r="G6" s="4">
        <f t="shared" si="4"/>
        <v>0.2</v>
      </c>
      <c r="H6" s="4">
        <f t="shared" si="5"/>
        <v>0.1</v>
      </c>
      <c r="I6" s="4">
        <f t="shared" si="6"/>
        <v>1</v>
      </c>
      <c r="J6" s="4">
        <f t="shared" si="7"/>
        <v>1</v>
      </c>
      <c r="K6" s="4">
        <f t="shared" si="8"/>
        <v>1</v>
      </c>
      <c r="L6" s="4">
        <f t="shared" si="9"/>
        <v>1</v>
      </c>
      <c r="M6" s="4">
        <f t="shared" si="10"/>
        <v>1</v>
      </c>
    </row>
    <row r="7" spans="1:24">
      <c r="A7" s="1" t="s">
        <v>25</v>
      </c>
      <c r="B7" s="2" t="s">
        <v>26</v>
      </c>
      <c r="C7" s="1">
        <v>1</v>
      </c>
      <c r="D7" s="4" t="str">
        <f t="shared" si="1"/>
        <v>TRUE</v>
      </c>
      <c r="E7">
        <f t="shared" si="2"/>
        <v>1</v>
      </c>
      <c r="F7" s="4">
        <f t="shared" si="3"/>
        <v>0.33333333333333331</v>
      </c>
      <c r="G7" s="4">
        <f t="shared" si="4"/>
        <v>0.2</v>
      </c>
      <c r="H7" s="4">
        <f t="shared" si="5"/>
        <v>0.1</v>
      </c>
      <c r="I7" s="4">
        <f t="shared" si="6"/>
        <v>1</v>
      </c>
      <c r="J7" s="4">
        <f t="shared" si="7"/>
        <v>1</v>
      </c>
      <c r="K7" s="4">
        <f t="shared" si="8"/>
        <v>1</v>
      </c>
      <c r="L7" s="4">
        <f t="shared" si="9"/>
        <v>1</v>
      </c>
      <c r="M7" s="4">
        <f t="shared" si="10"/>
        <v>1</v>
      </c>
    </row>
    <row r="8" spans="1:24">
      <c r="A8" s="1" t="s">
        <v>39</v>
      </c>
      <c r="B8" s="2" t="s">
        <v>40</v>
      </c>
      <c r="C8" s="1">
        <v>1</v>
      </c>
      <c r="D8" s="4" t="str">
        <f t="shared" si="1"/>
        <v>TRUE</v>
      </c>
      <c r="E8">
        <f t="shared" si="2"/>
        <v>1</v>
      </c>
      <c r="F8" s="4">
        <f t="shared" si="3"/>
        <v>0.33333333333333331</v>
      </c>
      <c r="G8" s="4">
        <f t="shared" si="4"/>
        <v>0.2</v>
      </c>
      <c r="H8" s="4">
        <f t="shared" si="5"/>
        <v>0.1</v>
      </c>
      <c r="I8" s="4">
        <f t="shared" si="6"/>
        <v>1</v>
      </c>
      <c r="J8" s="4">
        <f t="shared" si="7"/>
        <v>1</v>
      </c>
      <c r="K8" s="4">
        <f t="shared" si="8"/>
        <v>1</v>
      </c>
      <c r="L8" s="4">
        <f t="shared" si="9"/>
        <v>1</v>
      </c>
      <c r="M8" s="4">
        <f t="shared" si="10"/>
        <v>1</v>
      </c>
    </row>
    <row r="9" spans="1:24">
      <c r="A9" s="1" t="s">
        <v>55</v>
      </c>
      <c r="B9" s="2" t="s">
        <v>56</v>
      </c>
      <c r="C9" s="1">
        <v>1</v>
      </c>
      <c r="D9" s="4" t="str">
        <f t="shared" si="1"/>
        <v>TRUE</v>
      </c>
      <c r="E9">
        <f t="shared" si="2"/>
        <v>1</v>
      </c>
      <c r="F9" s="4">
        <f t="shared" si="3"/>
        <v>0.33333333333333331</v>
      </c>
      <c r="G9" s="4">
        <f t="shared" si="4"/>
        <v>0.2</v>
      </c>
      <c r="H9" s="4">
        <f t="shared" si="5"/>
        <v>0.1</v>
      </c>
      <c r="I9" s="4">
        <f t="shared" si="6"/>
        <v>1</v>
      </c>
      <c r="J9" s="4">
        <f t="shared" si="7"/>
        <v>1</v>
      </c>
      <c r="K9" s="4">
        <f t="shared" si="8"/>
        <v>1</v>
      </c>
      <c r="L9" s="4">
        <f t="shared" si="9"/>
        <v>1</v>
      </c>
      <c r="M9" s="4">
        <f t="shared" si="10"/>
        <v>1</v>
      </c>
    </row>
    <row r="10" spans="1:24">
      <c r="A10" s="1" t="s">
        <v>49</v>
      </c>
      <c r="B10" s="2" t="s">
        <v>50</v>
      </c>
      <c r="C10" s="1">
        <v>1</v>
      </c>
      <c r="D10" s="4" t="str">
        <f t="shared" si="1"/>
        <v>TRUE</v>
      </c>
      <c r="E10">
        <f t="shared" si="2"/>
        <v>1</v>
      </c>
      <c r="F10" s="4">
        <f t="shared" si="3"/>
        <v>0.33333333333333331</v>
      </c>
      <c r="G10" s="4">
        <f t="shared" si="4"/>
        <v>0.2</v>
      </c>
      <c r="H10" s="4">
        <f t="shared" si="5"/>
        <v>0.1</v>
      </c>
      <c r="I10" s="4">
        <f t="shared" si="6"/>
        <v>1</v>
      </c>
      <c r="J10" s="4">
        <f t="shared" si="7"/>
        <v>1</v>
      </c>
      <c r="K10" s="4">
        <f t="shared" si="8"/>
        <v>1</v>
      </c>
      <c r="L10" s="4">
        <f t="shared" si="9"/>
        <v>1</v>
      </c>
      <c r="M10" s="4">
        <f t="shared" si="10"/>
        <v>1</v>
      </c>
    </row>
    <row r="11" spans="1:24">
      <c r="A11" s="1" t="s">
        <v>53</v>
      </c>
      <c r="B11" s="2" t="s">
        <v>54</v>
      </c>
      <c r="C11" s="1">
        <v>1</v>
      </c>
      <c r="D11" s="4" t="str">
        <f t="shared" si="1"/>
        <v>TRUE</v>
      </c>
      <c r="E11">
        <f t="shared" si="2"/>
        <v>1</v>
      </c>
      <c r="F11" s="4">
        <f t="shared" si="3"/>
        <v>0.33333333333333331</v>
      </c>
      <c r="G11" s="4">
        <f t="shared" si="4"/>
        <v>0.2</v>
      </c>
      <c r="H11" s="4">
        <f t="shared" si="5"/>
        <v>0.1</v>
      </c>
      <c r="I11" s="4">
        <f t="shared" si="6"/>
        <v>1</v>
      </c>
      <c r="J11" s="4">
        <f t="shared" si="7"/>
        <v>1</v>
      </c>
      <c r="K11" s="4">
        <f t="shared" si="8"/>
        <v>1</v>
      </c>
      <c r="L11" s="4">
        <f t="shared" si="9"/>
        <v>1</v>
      </c>
      <c r="M11" s="4">
        <f t="shared" si="10"/>
        <v>1</v>
      </c>
    </row>
    <row r="12" spans="1:24">
      <c r="A12" s="1" t="s">
        <v>23</v>
      </c>
      <c r="B12" s="2" t="s">
        <v>24</v>
      </c>
      <c r="C12" s="1">
        <v>1</v>
      </c>
      <c r="D12" s="4" t="str">
        <f t="shared" si="1"/>
        <v>TRUE</v>
      </c>
      <c r="E12">
        <f t="shared" si="2"/>
        <v>1</v>
      </c>
      <c r="F12" s="4">
        <f t="shared" si="3"/>
        <v>0.33333333333333331</v>
      </c>
      <c r="G12" s="4">
        <f t="shared" si="4"/>
        <v>0.2</v>
      </c>
      <c r="H12" s="4">
        <f t="shared" si="5"/>
        <v>0.1</v>
      </c>
      <c r="I12" s="4">
        <f t="shared" si="6"/>
        <v>1</v>
      </c>
      <c r="J12" s="4">
        <f t="shared" si="7"/>
        <v>1</v>
      </c>
      <c r="K12" s="4">
        <f t="shared" si="8"/>
        <v>1</v>
      </c>
      <c r="L12" s="4">
        <f t="shared" si="9"/>
        <v>1</v>
      </c>
      <c r="M12" s="4">
        <f t="shared" si="10"/>
        <v>1</v>
      </c>
    </row>
    <row r="13" spans="1:24">
      <c r="A13" s="1" t="s">
        <v>15</v>
      </c>
      <c r="B13" s="2" t="s">
        <v>16</v>
      </c>
      <c r="C13" s="1">
        <v>1</v>
      </c>
      <c r="D13" s="4" t="str">
        <f t="shared" si="1"/>
        <v>TRUE</v>
      </c>
      <c r="E13">
        <f t="shared" si="2"/>
        <v>1</v>
      </c>
      <c r="F13" s="4">
        <f t="shared" si="3"/>
        <v>0.33333333333333331</v>
      </c>
      <c r="G13" s="4">
        <f t="shared" si="4"/>
        <v>0.2</v>
      </c>
      <c r="H13" s="4">
        <f t="shared" si="5"/>
        <v>0.1</v>
      </c>
      <c r="I13" s="4">
        <f t="shared" si="6"/>
        <v>1</v>
      </c>
      <c r="J13" s="4">
        <f t="shared" si="7"/>
        <v>1</v>
      </c>
      <c r="K13" s="4">
        <f t="shared" si="8"/>
        <v>1</v>
      </c>
      <c r="L13" s="4">
        <f t="shared" si="9"/>
        <v>1</v>
      </c>
      <c r="M13" s="4">
        <f t="shared" si="10"/>
        <v>1</v>
      </c>
    </row>
    <row r="14" spans="1:24">
      <c r="A14" s="1" t="s">
        <v>21</v>
      </c>
      <c r="B14" s="2" t="s">
        <v>22</v>
      </c>
      <c r="C14" s="1">
        <v>1</v>
      </c>
      <c r="D14" s="4" t="str">
        <f t="shared" si="1"/>
        <v>TRUE</v>
      </c>
      <c r="E14">
        <f t="shared" si="2"/>
        <v>1</v>
      </c>
      <c r="F14" s="4">
        <f t="shared" si="3"/>
        <v>0.33333333333333331</v>
      </c>
      <c r="G14" s="4">
        <f t="shared" si="4"/>
        <v>0.2</v>
      </c>
      <c r="H14" s="4">
        <f t="shared" si="5"/>
        <v>0.1</v>
      </c>
      <c r="I14" s="4">
        <f t="shared" si="6"/>
        <v>1</v>
      </c>
      <c r="J14" s="4">
        <f t="shared" si="7"/>
        <v>1</v>
      </c>
      <c r="K14" s="4">
        <f t="shared" si="8"/>
        <v>1</v>
      </c>
      <c r="L14" s="4">
        <f t="shared" si="9"/>
        <v>1</v>
      </c>
      <c r="M14" s="4">
        <f t="shared" si="10"/>
        <v>1</v>
      </c>
    </row>
    <row r="15" spans="1:24">
      <c r="A15" s="1" t="s">
        <v>33</v>
      </c>
      <c r="B15" s="2" t="s">
        <v>34</v>
      </c>
      <c r="C15" s="1">
        <v>1</v>
      </c>
      <c r="D15" s="4" t="str">
        <f t="shared" si="1"/>
        <v>TRUE</v>
      </c>
      <c r="E15">
        <f t="shared" si="2"/>
        <v>1</v>
      </c>
      <c r="F15" s="4">
        <f t="shared" si="3"/>
        <v>0.33333333333333331</v>
      </c>
      <c r="G15" s="4">
        <f t="shared" si="4"/>
        <v>0.2</v>
      </c>
      <c r="H15" s="4">
        <f t="shared" si="5"/>
        <v>0.1</v>
      </c>
      <c r="I15" s="4">
        <f t="shared" si="6"/>
        <v>1</v>
      </c>
      <c r="J15" s="4">
        <f t="shared" si="7"/>
        <v>1</v>
      </c>
      <c r="K15" s="4">
        <f t="shared" si="8"/>
        <v>1</v>
      </c>
      <c r="L15" s="4">
        <f t="shared" si="9"/>
        <v>1</v>
      </c>
      <c r="M15" s="4">
        <f t="shared" si="10"/>
        <v>1</v>
      </c>
    </row>
    <row r="16" spans="1:24">
      <c r="A16" s="1" t="s">
        <v>37</v>
      </c>
      <c r="B16" s="2" t="s">
        <v>38</v>
      </c>
      <c r="C16" s="1">
        <v>1</v>
      </c>
      <c r="D16" s="4" t="str">
        <f t="shared" si="1"/>
        <v>TRUE</v>
      </c>
      <c r="E16">
        <f t="shared" si="2"/>
        <v>1</v>
      </c>
      <c r="F16" s="4">
        <f t="shared" si="3"/>
        <v>0.33333333333333331</v>
      </c>
      <c r="G16" s="4">
        <f t="shared" si="4"/>
        <v>0.2</v>
      </c>
      <c r="H16" s="4">
        <f t="shared" si="5"/>
        <v>0.1</v>
      </c>
      <c r="I16" s="4">
        <f t="shared" si="6"/>
        <v>1</v>
      </c>
      <c r="J16" s="4">
        <f t="shared" si="7"/>
        <v>1</v>
      </c>
      <c r="K16" s="4">
        <f t="shared" si="8"/>
        <v>1</v>
      </c>
      <c r="L16" s="4">
        <f t="shared" si="9"/>
        <v>1</v>
      </c>
      <c r="M16" s="4">
        <f t="shared" si="10"/>
        <v>1</v>
      </c>
    </row>
    <row r="17" spans="1:13">
      <c r="A17" s="1" t="s">
        <v>29</v>
      </c>
      <c r="B17" s="2" t="s">
        <v>30</v>
      </c>
      <c r="C17" s="1">
        <v>1</v>
      </c>
      <c r="D17" s="4" t="str">
        <f t="shared" si="1"/>
        <v>TRUE</v>
      </c>
      <c r="E17">
        <f t="shared" si="2"/>
        <v>1</v>
      </c>
      <c r="F17" s="4">
        <f t="shared" si="3"/>
        <v>0.33333333333333331</v>
      </c>
      <c r="G17" s="4">
        <f t="shared" si="4"/>
        <v>0.2</v>
      </c>
      <c r="H17" s="4">
        <f t="shared" si="5"/>
        <v>0.1</v>
      </c>
      <c r="I17" s="4">
        <f t="shared" si="6"/>
        <v>1</v>
      </c>
      <c r="J17" s="4">
        <f t="shared" si="7"/>
        <v>1</v>
      </c>
      <c r="K17" s="4">
        <f t="shared" si="8"/>
        <v>1</v>
      </c>
      <c r="L17" s="4">
        <f t="shared" si="9"/>
        <v>1</v>
      </c>
      <c r="M17" s="4">
        <f t="shared" si="10"/>
        <v>1</v>
      </c>
    </row>
    <row r="18" spans="1:13">
      <c r="A18" s="1" t="s">
        <v>43</v>
      </c>
      <c r="B18" s="2" t="s">
        <v>44</v>
      </c>
      <c r="C18" s="1">
        <v>1</v>
      </c>
      <c r="D18" s="4" t="str">
        <f t="shared" si="1"/>
        <v>TRUE</v>
      </c>
      <c r="E18">
        <f t="shared" si="2"/>
        <v>1</v>
      </c>
      <c r="F18" s="4">
        <f t="shared" si="3"/>
        <v>0.33333333333333331</v>
      </c>
      <c r="G18" s="4">
        <f t="shared" si="4"/>
        <v>0.2</v>
      </c>
      <c r="H18" s="4">
        <f t="shared" si="5"/>
        <v>0.1</v>
      </c>
      <c r="I18" s="4">
        <f t="shared" si="6"/>
        <v>1</v>
      </c>
      <c r="J18" s="4">
        <f t="shared" si="7"/>
        <v>1</v>
      </c>
      <c r="K18" s="4">
        <f t="shared" si="8"/>
        <v>1</v>
      </c>
      <c r="L18" s="4">
        <f t="shared" si="9"/>
        <v>1</v>
      </c>
      <c r="M18" s="4">
        <f t="shared" si="10"/>
        <v>1</v>
      </c>
    </row>
    <row r="19" spans="1:13">
      <c r="A19" s="1" t="s">
        <v>31</v>
      </c>
      <c r="B19" s="2" t="s">
        <v>32</v>
      </c>
      <c r="C19" s="1">
        <v>1</v>
      </c>
      <c r="D19" s="4" t="str">
        <f t="shared" si="1"/>
        <v>TRUE</v>
      </c>
      <c r="E19">
        <f t="shared" si="2"/>
        <v>1</v>
      </c>
      <c r="F19" s="4">
        <f t="shared" si="3"/>
        <v>0.33333333333333331</v>
      </c>
      <c r="G19" s="4">
        <f t="shared" si="4"/>
        <v>0.2</v>
      </c>
      <c r="H19" s="4">
        <f t="shared" si="5"/>
        <v>0.1</v>
      </c>
      <c r="I19" s="4">
        <f t="shared" si="6"/>
        <v>1</v>
      </c>
      <c r="J19" s="4">
        <f t="shared" si="7"/>
        <v>1</v>
      </c>
      <c r="K19" s="4">
        <f t="shared" si="8"/>
        <v>1</v>
      </c>
      <c r="L19" s="4">
        <f t="shared" si="9"/>
        <v>1</v>
      </c>
      <c r="M19" s="4">
        <f t="shared" si="10"/>
        <v>1</v>
      </c>
    </row>
    <row r="20" spans="1:13">
      <c r="A20" s="1" t="s">
        <v>13</v>
      </c>
      <c r="B20" s="2" t="s">
        <v>14</v>
      </c>
      <c r="C20" s="1">
        <v>1</v>
      </c>
      <c r="D20" s="4" t="str">
        <f t="shared" si="1"/>
        <v>TRUE</v>
      </c>
      <c r="E20">
        <f t="shared" si="2"/>
        <v>1</v>
      </c>
      <c r="F20" s="4">
        <f t="shared" si="3"/>
        <v>0.33333333333333331</v>
      </c>
      <c r="G20" s="4">
        <f t="shared" si="4"/>
        <v>0.2</v>
      </c>
      <c r="H20" s="4">
        <f t="shared" si="5"/>
        <v>0.1</v>
      </c>
      <c r="I20" s="4">
        <f t="shared" si="6"/>
        <v>1</v>
      </c>
      <c r="J20" s="4">
        <f t="shared" si="7"/>
        <v>1</v>
      </c>
      <c r="K20" s="4">
        <f t="shared" si="8"/>
        <v>1</v>
      </c>
      <c r="L20" s="4">
        <f t="shared" si="9"/>
        <v>1</v>
      </c>
      <c r="M20" s="4">
        <f t="shared" si="10"/>
        <v>1</v>
      </c>
    </row>
    <row r="21" spans="1:13">
      <c r="A21" s="1" t="s">
        <v>17</v>
      </c>
      <c r="B21" s="2" t="s">
        <v>18</v>
      </c>
      <c r="C21" s="1">
        <v>1</v>
      </c>
      <c r="D21" s="4" t="str">
        <f t="shared" si="1"/>
        <v>TRUE</v>
      </c>
      <c r="E21">
        <f t="shared" si="2"/>
        <v>1</v>
      </c>
      <c r="F21" s="4">
        <f t="shared" si="3"/>
        <v>0.33333333333333331</v>
      </c>
      <c r="G21" s="4">
        <f t="shared" si="4"/>
        <v>0.2</v>
      </c>
      <c r="H21" s="4">
        <f t="shared" si="5"/>
        <v>0.1</v>
      </c>
      <c r="I21" s="4">
        <f t="shared" si="6"/>
        <v>1</v>
      </c>
      <c r="J21" s="4">
        <f t="shared" si="7"/>
        <v>1</v>
      </c>
      <c r="K21" s="4">
        <f t="shared" si="8"/>
        <v>1</v>
      </c>
      <c r="L21" s="4">
        <f t="shared" si="9"/>
        <v>1</v>
      </c>
      <c r="M21" s="4">
        <f t="shared" si="10"/>
        <v>1</v>
      </c>
    </row>
    <row r="22" spans="1:13">
      <c r="A22" s="1" t="s">
        <v>27</v>
      </c>
      <c r="B22" s="2" t="s">
        <v>28</v>
      </c>
      <c r="C22" s="1">
        <v>1</v>
      </c>
      <c r="D22" s="4" t="str">
        <f t="shared" si="1"/>
        <v>TRUE</v>
      </c>
      <c r="E22">
        <f t="shared" si="2"/>
        <v>1</v>
      </c>
      <c r="F22" s="4">
        <f t="shared" si="3"/>
        <v>0.33333333333333331</v>
      </c>
      <c r="G22" s="4">
        <f t="shared" si="4"/>
        <v>0.2</v>
      </c>
      <c r="H22" s="4">
        <f t="shared" si="5"/>
        <v>0.1</v>
      </c>
      <c r="I22" s="4">
        <f t="shared" si="6"/>
        <v>1</v>
      </c>
      <c r="J22" s="4">
        <f t="shared" si="7"/>
        <v>1</v>
      </c>
      <c r="K22" s="4">
        <f t="shared" si="8"/>
        <v>1</v>
      </c>
      <c r="L22" s="4">
        <f t="shared" si="9"/>
        <v>1</v>
      </c>
      <c r="M22" s="4">
        <f t="shared" si="10"/>
        <v>1</v>
      </c>
    </row>
    <row r="23" spans="1:13">
      <c r="A23" s="1" t="s">
        <v>41</v>
      </c>
      <c r="B23" s="2" t="s">
        <v>42</v>
      </c>
      <c r="C23" s="1">
        <v>1</v>
      </c>
      <c r="D23" s="4" t="str">
        <f t="shared" si="1"/>
        <v>TRUE</v>
      </c>
      <c r="E23">
        <f t="shared" si="2"/>
        <v>1</v>
      </c>
      <c r="F23" s="4">
        <f t="shared" si="3"/>
        <v>0.33333333333333331</v>
      </c>
      <c r="G23" s="4">
        <f t="shared" si="4"/>
        <v>0.2</v>
      </c>
      <c r="H23" s="4">
        <f t="shared" si="5"/>
        <v>0.1</v>
      </c>
      <c r="I23" s="4">
        <f t="shared" si="6"/>
        <v>1</v>
      </c>
      <c r="J23" s="4">
        <f t="shared" si="7"/>
        <v>1</v>
      </c>
      <c r="K23" s="4">
        <f t="shared" si="8"/>
        <v>1</v>
      </c>
      <c r="L23" s="4">
        <f t="shared" si="9"/>
        <v>1</v>
      </c>
      <c r="M23" s="4">
        <f t="shared" si="10"/>
        <v>1</v>
      </c>
    </row>
    <row r="24" spans="1:13">
      <c r="A24" s="1" t="s">
        <v>35</v>
      </c>
      <c r="B24" s="2" t="s">
        <v>36</v>
      </c>
      <c r="C24" s="1">
        <v>1</v>
      </c>
      <c r="D24" s="4" t="str">
        <f t="shared" si="1"/>
        <v>TRUE</v>
      </c>
      <c r="E24">
        <f t="shared" si="2"/>
        <v>1</v>
      </c>
      <c r="F24" s="4">
        <f t="shared" si="3"/>
        <v>0.33333333333333331</v>
      </c>
      <c r="G24" s="4">
        <f t="shared" si="4"/>
        <v>0.2</v>
      </c>
      <c r="H24" s="4">
        <f t="shared" si="5"/>
        <v>0.1</v>
      </c>
      <c r="I24" s="4">
        <f t="shared" si="6"/>
        <v>1</v>
      </c>
      <c r="J24" s="4">
        <f t="shared" si="7"/>
        <v>1</v>
      </c>
      <c r="K24" s="4">
        <f t="shared" si="8"/>
        <v>1</v>
      </c>
      <c r="L24" s="4">
        <f t="shared" si="9"/>
        <v>1</v>
      </c>
      <c r="M24" s="4">
        <f t="shared" si="10"/>
        <v>1</v>
      </c>
    </row>
    <row r="25" spans="1:13">
      <c r="A25" s="1" t="s">
        <v>45</v>
      </c>
      <c r="B25" s="2" t="s">
        <v>46</v>
      </c>
      <c r="C25" s="1">
        <v>1</v>
      </c>
      <c r="D25" s="4" t="str">
        <f t="shared" si="1"/>
        <v>TRUE</v>
      </c>
      <c r="E25">
        <f t="shared" si="2"/>
        <v>1</v>
      </c>
      <c r="F25" s="4">
        <f t="shared" si="3"/>
        <v>0.33333333333333331</v>
      </c>
      <c r="G25" s="4">
        <f t="shared" si="4"/>
        <v>0.2</v>
      </c>
      <c r="H25" s="4">
        <f t="shared" si="5"/>
        <v>0.1</v>
      </c>
      <c r="I25" s="4">
        <f t="shared" si="6"/>
        <v>1</v>
      </c>
      <c r="J25" s="4">
        <f t="shared" si="7"/>
        <v>1</v>
      </c>
      <c r="K25" s="4">
        <f t="shared" si="8"/>
        <v>1</v>
      </c>
      <c r="L25" s="4">
        <f t="shared" si="9"/>
        <v>1</v>
      </c>
      <c r="M25" s="4">
        <f t="shared" si="10"/>
        <v>1</v>
      </c>
    </row>
    <row r="26" spans="1:13">
      <c r="A26" s="1" t="s">
        <v>73</v>
      </c>
      <c r="B26" s="2" t="s">
        <v>74</v>
      </c>
      <c r="C26" s="1">
        <v>2</v>
      </c>
      <c r="D26" s="4" t="str">
        <f t="shared" si="1"/>
        <v>TRUE</v>
      </c>
      <c r="E26">
        <f t="shared" si="2"/>
        <v>0</v>
      </c>
      <c r="F26" s="4">
        <f t="shared" si="3"/>
        <v>0.33333333333333331</v>
      </c>
      <c r="G26" s="4">
        <f t="shared" si="4"/>
        <v>0.2</v>
      </c>
      <c r="H26" s="4">
        <f t="shared" si="5"/>
        <v>0.1</v>
      </c>
      <c r="I26" s="4">
        <f t="shared" si="6"/>
        <v>0</v>
      </c>
      <c r="J26" s="4">
        <f t="shared" si="7"/>
        <v>1</v>
      </c>
      <c r="K26" s="4">
        <f t="shared" si="8"/>
        <v>1</v>
      </c>
      <c r="L26" s="4">
        <f t="shared" si="9"/>
        <v>1</v>
      </c>
      <c r="M26" s="4">
        <f t="shared" si="10"/>
        <v>0.5</v>
      </c>
    </row>
    <row r="27" spans="1:13">
      <c r="A27" s="1" t="s">
        <v>61</v>
      </c>
      <c r="B27" s="2" t="s">
        <v>62</v>
      </c>
      <c r="C27" s="1">
        <v>2</v>
      </c>
      <c r="D27" s="4" t="str">
        <f t="shared" si="1"/>
        <v>TRUE</v>
      </c>
      <c r="E27">
        <f t="shared" si="2"/>
        <v>0</v>
      </c>
      <c r="F27" s="4">
        <f t="shared" si="3"/>
        <v>0.33333333333333331</v>
      </c>
      <c r="G27" s="4">
        <f t="shared" si="4"/>
        <v>0.2</v>
      </c>
      <c r="H27" s="4">
        <f t="shared" si="5"/>
        <v>0.1</v>
      </c>
      <c r="I27" s="4">
        <f t="shared" si="6"/>
        <v>0</v>
      </c>
      <c r="J27" s="4">
        <f t="shared" si="7"/>
        <v>1</v>
      </c>
      <c r="K27" s="4">
        <f t="shared" si="8"/>
        <v>1</v>
      </c>
      <c r="L27" s="4">
        <f t="shared" si="9"/>
        <v>1</v>
      </c>
      <c r="M27" s="4">
        <f t="shared" si="10"/>
        <v>0.5</v>
      </c>
    </row>
    <row r="28" spans="1:13">
      <c r="A28" s="1" t="s">
        <v>59</v>
      </c>
      <c r="B28" s="2" t="s">
        <v>60</v>
      </c>
      <c r="C28" s="1">
        <v>2</v>
      </c>
      <c r="D28" s="4" t="str">
        <f t="shared" si="1"/>
        <v>TRUE</v>
      </c>
      <c r="E28">
        <f t="shared" si="2"/>
        <v>0</v>
      </c>
      <c r="F28" s="4">
        <f t="shared" si="3"/>
        <v>0.33333333333333331</v>
      </c>
      <c r="G28" s="4">
        <f t="shared" si="4"/>
        <v>0.2</v>
      </c>
      <c r="H28" s="4">
        <f t="shared" si="5"/>
        <v>0.1</v>
      </c>
      <c r="I28" s="4">
        <f t="shared" si="6"/>
        <v>0</v>
      </c>
      <c r="J28" s="4">
        <f t="shared" si="7"/>
        <v>1</v>
      </c>
      <c r="K28" s="4">
        <f t="shared" si="8"/>
        <v>1</v>
      </c>
      <c r="L28" s="4">
        <f t="shared" si="9"/>
        <v>1</v>
      </c>
      <c r="M28" s="4">
        <f t="shared" si="10"/>
        <v>0.5</v>
      </c>
    </row>
    <row r="29" spans="1:13">
      <c r="A29" s="1" t="s">
        <v>75</v>
      </c>
      <c r="B29" s="2" t="s">
        <v>76</v>
      </c>
      <c r="C29" s="1">
        <v>2</v>
      </c>
      <c r="D29" s="4" t="str">
        <f t="shared" si="1"/>
        <v>TRUE</v>
      </c>
      <c r="E29">
        <f t="shared" si="2"/>
        <v>0</v>
      </c>
      <c r="F29" s="4">
        <f t="shared" si="3"/>
        <v>0.33333333333333331</v>
      </c>
      <c r="G29" s="4">
        <f t="shared" si="4"/>
        <v>0.2</v>
      </c>
      <c r="H29" s="4">
        <f t="shared" si="5"/>
        <v>0.1</v>
      </c>
      <c r="I29" s="4">
        <f t="shared" si="6"/>
        <v>0</v>
      </c>
      <c r="J29" s="4">
        <f t="shared" si="7"/>
        <v>1</v>
      </c>
      <c r="K29" s="4">
        <f t="shared" si="8"/>
        <v>1</v>
      </c>
      <c r="L29" s="4">
        <f t="shared" si="9"/>
        <v>1</v>
      </c>
      <c r="M29" s="4">
        <f t="shared" si="10"/>
        <v>0.5</v>
      </c>
    </row>
    <row r="30" spans="1:13">
      <c r="A30" s="1" t="s">
        <v>65</v>
      </c>
      <c r="B30" s="2" t="s">
        <v>66</v>
      </c>
      <c r="C30" s="1">
        <v>2</v>
      </c>
      <c r="D30" s="4" t="str">
        <f t="shared" si="1"/>
        <v>TRUE</v>
      </c>
      <c r="E30">
        <f t="shared" si="2"/>
        <v>0</v>
      </c>
      <c r="F30" s="4">
        <f t="shared" si="3"/>
        <v>0.33333333333333331</v>
      </c>
      <c r="G30" s="4">
        <f t="shared" si="4"/>
        <v>0.2</v>
      </c>
      <c r="H30" s="4">
        <f t="shared" si="5"/>
        <v>0.1</v>
      </c>
      <c r="I30" s="4">
        <f t="shared" si="6"/>
        <v>0</v>
      </c>
      <c r="J30" s="4">
        <f t="shared" si="7"/>
        <v>1</v>
      </c>
      <c r="K30" s="4">
        <f t="shared" si="8"/>
        <v>1</v>
      </c>
      <c r="L30" s="4">
        <f t="shared" si="9"/>
        <v>1</v>
      </c>
      <c r="M30" s="4">
        <f t="shared" si="10"/>
        <v>0.5</v>
      </c>
    </row>
    <row r="31" spans="1:13">
      <c r="A31" s="1" t="s">
        <v>69</v>
      </c>
      <c r="B31" s="2" t="s">
        <v>70</v>
      </c>
      <c r="C31" s="1">
        <v>2</v>
      </c>
      <c r="D31" s="4" t="str">
        <f t="shared" si="1"/>
        <v>TRUE</v>
      </c>
      <c r="E31">
        <f t="shared" si="2"/>
        <v>0</v>
      </c>
      <c r="F31" s="4">
        <f t="shared" si="3"/>
        <v>0.33333333333333331</v>
      </c>
      <c r="G31" s="4">
        <f t="shared" si="4"/>
        <v>0.2</v>
      </c>
      <c r="H31" s="4">
        <f t="shared" si="5"/>
        <v>0.1</v>
      </c>
      <c r="I31" s="4">
        <f t="shared" si="6"/>
        <v>0</v>
      </c>
      <c r="J31" s="4">
        <f t="shared" si="7"/>
        <v>1</v>
      </c>
      <c r="K31" s="4">
        <f t="shared" si="8"/>
        <v>1</v>
      </c>
      <c r="L31" s="4">
        <f t="shared" si="9"/>
        <v>1</v>
      </c>
      <c r="M31" s="4">
        <f t="shared" si="10"/>
        <v>0.5</v>
      </c>
    </row>
    <row r="32" spans="1:13">
      <c r="A32" s="1" t="s">
        <v>67</v>
      </c>
      <c r="B32" s="2" t="s">
        <v>68</v>
      </c>
      <c r="C32" s="1">
        <v>2</v>
      </c>
      <c r="D32" s="4" t="str">
        <f t="shared" si="1"/>
        <v>TRUE</v>
      </c>
      <c r="E32">
        <f t="shared" si="2"/>
        <v>0</v>
      </c>
      <c r="F32" s="4">
        <f t="shared" si="3"/>
        <v>0.33333333333333331</v>
      </c>
      <c r="G32" s="4">
        <f t="shared" si="4"/>
        <v>0.2</v>
      </c>
      <c r="H32" s="4">
        <f t="shared" si="5"/>
        <v>0.1</v>
      </c>
      <c r="I32" s="4">
        <f t="shared" si="6"/>
        <v>0</v>
      </c>
      <c r="J32" s="4">
        <f t="shared" si="7"/>
        <v>1</v>
      </c>
      <c r="K32" s="4">
        <f t="shared" si="8"/>
        <v>1</v>
      </c>
      <c r="L32" s="4">
        <f t="shared" si="9"/>
        <v>1</v>
      </c>
      <c r="M32" s="4">
        <f t="shared" si="10"/>
        <v>0.5</v>
      </c>
    </row>
    <row r="33" spans="1:13">
      <c r="A33" s="1" t="s">
        <v>63</v>
      </c>
      <c r="B33" s="3" t="s">
        <v>64</v>
      </c>
      <c r="C33" s="1">
        <v>2</v>
      </c>
      <c r="D33" s="4" t="str">
        <f t="shared" si="1"/>
        <v>TRUE</v>
      </c>
      <c r="E33">
        <f t="shared" si="2"/>
        <v>0</v>
      </c>
      <c r="F33" s="4">
        <f t="shared" si="3"/>
        <v>0.33333333333333331</v>
      </c>
      <c r="G33" s="4">
        <f t="shared" si="4"/>
        <v>0.2</v>
      </c>
      <c r="H33" s="4">
        <f t="shared" si="5"/>
        <v>0.1</v>
      </c>
      <c r="I33" s="4">
        <f t="shared" si="6"/>
        <v>0</v>
      </c>
      <c r="J33" s="4">
        <f t="shared" si="7"/>
        <v>1</v>
      </c>
      <c r="K33" s="4">
        <f t="shared" si="8"/>
        <v>1</v>
      </c>
      <c r="L33" s="4">
        <f t="shared" si="9"/>
        <v>1</v>
      </c>
      <c r="M33" s="4">
        <f t="shared" si="10"/>
        <v>0.5</v>
      </c>
    </row>
    <row r="34" spans="1:13">
      <c r="A34" s="1" t="s">
        <v>71</v>
      </c>
      <c r="B34" s="2" t="s">
        <v>72</v>
      </c>
      <c r="C34" s="1">
        <v>2</v>
      </c>
      <c r="D34" s="4" t="str">
        <f t="shared" si="1"/>
        <v>TRUE</v>
      </c>
      <c r="E34">
        <f t="shared" si="2"/>
        <v>0</v>
      </c>
      <c r="F34" s="4">
        <f t="shared" si="3"/>
        <v>0.33333333333333331</v>
      </c>
      <c r="G34" s="4">
        <f t="shared" si="4"/>
        <v>0.2</v>
      </c>
      <c r="H34" s="4">
        <f t="shared" si="5"/>
        <v>0.1</v>
      </c>
      <c r="I34" s="4">
        <f t="shared" si="6"/>
        <v>0</v>
      </c>
      <c r="J34" s="4">
        <f t="shared" si="7"/>
        <v>1</v>
      </c>
      <c r="K34" s="4">
        <f t="shared" si="8"/>
        <v>1</v>
      </c>
      <c r="L34" s="4">
        <f t="shared" si="9"/>
        <v>1</v>
      </c>
      <c r="M34" s="4">
        <f t="shared" si="10"/>
        <v>0.5</v>
      </c>
    </row>
    <row r="35" spans="1:13">
      <c r="A35" s="1" t="s">
        <v>87</v>
      </c>
      <c r="B35" s="2" t="s">
        <v>88</v>
      </c>
      <c r="C35" s="1">
        <v>3</v>
      </c>
      <c r="D35" s="4" t="str">
        <f t="shared" si="1"/>
        <v>TRUE</v>
      </c>
      <c r="E35">
        <f t="shared" si="2"/>
        <v>0</v>
      </c>
      <c r="F35" s="4">
        <f t="shared" si="3"/>
        <v>0.33333333333333331</v>
      </c>
      <c r="G35" s="4">
        <f t="shared" si="4"/>
        <v>0.2</v>
      </c>
      <c r="H35" s="4">
        <f t="shared" si="5"/>
        <v>0.1</v>
      </c>
      <c r="I35" s="4">
        <f t="shared" si="6"/>
        <v>0</v>
      </c>
      <c r="J35" s="4">
        <f t="shared" si="7"/>
        <v>1</v>
      </c>
      <c r="K35" s="4">
        <f t="shared" si="8"/>
        <v>1</v>
      </c>
      <c r="L35" s="4">
        <f t="shared" si="9"/>
        <v>1</v>
      </c>
      <c r="M35" s="4">
        <f t="shared" si="10"/>
        <v>0.33333333333333331</v>
      </c>
    </row>
    <row r="36" spans="1:13">
      <c r="A36" s="1" t="s">
        <v>83</v>
      </c>
      <c r="B36" s="2" t="s">
        <v>84</v>
      </c>
      <c r="C36" s="1">
        <v>3</v>
      </c>
      <c r="D36" s="4" t="str">
        <f t="shared" si="1"/>
        <v>TRUE</v>
      </c>
      <c r="E36">
        <f t="shared" si="2"/>
        <v>0</v>
      </c>
      <c r="F36" s="4">
        <f t="shared" si="3"/>
        <v>0.33333333333333331</v>
      </c>
      <c r="G36" s="4">
        <f t="shared" si="4"/>
        <v>0.2</v>
      </c>
      <c r="H36" s="4">
        <f t="shared" si="5"/>
        <v>0.1</v>
      </c>
      <c r="I36" s="4">
        <f t="shared" si="6"/>
        <v>0</v>
      </c>
      <c r="J36" s="4">
        <f t="shared" si="7"/>
        <v>1</v>
      </c>
      <c r="K36" s="4">
        <f t="shared" si="8"/>
        <v>1</v>
      </c>
      <c r="L36" s="4">
        <f t="shared" si="9"/>
        <v>1</v>
      </c>
      <c r="M36" s="4">
        <f t="shared" si="10"/>
        <v>0.33333333333333331</v>
      </c>
    </row>
    <row r="37" spans="1:13">
      <c r="A37" s="1" t="s">
        <v>89</v>
      </c>
      <c r="B37" s="2" t="s">
        <v>90</v>
      </c>
      <c r="C37" s="1">
        <v>3</v>
      </c>
      <c r="D37" s="4" t="str">
        <f t="shared" si="1"/>
        <v>TRUE</v>
      </c>
      <c r="E37">
        <f t="shared" si="2"/>
        <v>0</v>
      </c>
      <c r="F37" s="4">
        <f t="shared" si="3"/>
        <v>0.33333333333333331</v>
      </c>
      <c r="G37" s="4">
        <f t="shared" si="4"/>
        <v>0.2</v>
      </c>
      <c r="H37" s="4">
        <f t="shared" si="5"/>
        <v>0.1</v>
      </c>
      <c r="I37" s="4">
        <f t="shared" si="6"/>
        <v>0</v>
      </c>
      <c r="J37" s="4">
        <f t="shared" si="7"/>
        <v>1</v>
      </c>
      <c r="K37" s="4">
        <f t="shared" si="8"/>
        <v>1</v>
      </c>
      <c r="L37" s="4">
        <f t="shared" si="9"/>
        <v>1</v>
      </c>
      <c r="M37" s="4">
        <f t="shared" si="10"/>
        <v>0.33333333333333331</v>
      </c>
    </row>
    <row r="38" spans="1:13">
      <c r="A38" s="1" t="s">
        <v>81</v>
      </c>
      <c r="B38" s="2" t="s">
        <v>82</v>
      </c>
      <c r="C38" s="1">
        <v>3</v>
      </c>
      <c r="D38" s="4" t="str">
        <f t="shared" si="1"/>
        <v>TRUE</v>
      </c>
      <c r="E38">
        <f t="shared" si="2"/>
        <v>0</v>
      </c>
      <c r="F38" s="4">
        <f t="shared" si="3"/>
        <v>0.33333333333333331</v>
      </c>
      <c r="G38" s="4">
        <f t="shared" si="4"/>
        <v>0.2</v>
      </c>
      <c r="H38" s="4">
        <f t="shared" si="5"/>
        <v>0.1</v>
      </c>
      <c r="I38" s="4">
        <f t="shared" si="6"/>
        <v>0</v>
      </c>
      <c r="J38" s="4">
        <f t="shared" si="7"/>
        <v>1</v>
      </c>
      <c r="K38" s="4">
        <f t="shared" si="8"/>
        <v>1</v>
      </c>
      <c r="L38" s="4">
        <f t="shared" si="9"/>
        <v>1</v>
      </c>
      <c r="M38" s="4">
        <f t="shared" si="10"/>
        <v>0.33333333333333331</v>
      </c>
    </row>
    <row r="39" spans="1:13">
      <c r="A39" s="1" t="s">
        <v>85</v>
      </c>
      <c r="B39" s="2" t="s">
        <v>86</v>
      </c>
      <c r="C39" s="1">
        <v>3</v>
      </c>
      <c r="D39" s="4" t="str">
        <f t="shared" si="1"/>
        <v>TRUE</v>
      </c>
      <c r="E39">
        <f t="shared" si="2"/>
        <v>0</v>
      </c>
      <c r="F39" s="4">
        <f t="shared" si="3"/>
        <v>0.33333333333333331</v>
      </c>
      <c r="G39" s="4">
        <f t="shared" si="4"/>
        <v>0.2</v>
      </c>
      <c r="H39" s="4">
        <f t="shared" si="5"/>
        <v>0.1</v>
      </c>
      <c r="I39" s="4">
        <f t="shared" si="6"/>
        <v>0</v>
      </c>
      <c r="J39" s="4">
        <f t="shared" si="7"/>
        <v>1</v>
      </c>
      <c r="K39" s="4">
        <f t="shared" si="8"/>
        <v>1</v>
      </c>
      <c r="L39" s="4">
        <f t="shared" si="9"/>
        <v>1</v>
      </c>
      <c r="M39" s="4">
        <f t="shared" si="10"/>
        <v>0.33333333333333331</v>
      </c>
    </row>
    <row r="40" spans="1:13">
      <c r="A40" s="1" t="s">
        <v>92</v>
      </c>
      <c r="B40" s="2" t="s">
        <v>93</v>
      </c>
      <c r="C40" s="1">
        <v>4</v>
      </c>
      <c r="D40" s="4" t="str">
        <f t="shared" si="1"/>
        <v>TRUE</v>
      </c>
      <c r="E40">
        <f t="shared" si="2"/>
        <v>0</v>
      </c>
      <c r="F40" s="4">
        <f t="shared" si="3"/>
        <v>0</v>
      </c>
      <c r="G40" s="4">
        <f t="shared" si="4"/>
        <v>0.2</v>
      </c>
      <c r="H40" s="4">
        <f t="shared" si="5"/>
        <v>0.1</v>
      </c>
      <c r="I40" s="4">
        <f t="shared" si="6"/>
        <v>0</v>
      </c>
      <c r="J40" s="4">
        <f t="shared" si="7"/>
        <v>0</v>
      </c>
      <c r="K40" s="4">
        <f t="shared" si="8"/>
        <v>1</v>
      </c>
      <c r="L40" s="4">
        <f t="shared" si="9"/>
        <v>1</v>
      </c>
      <c r="M40" s="4">
        <f t="shared" si="10"/>
        <v>0.25</v>
      </c>
    </row>
    <row r="41" spans="1:13">
      <c r="A41" s="1" t="s">
        <v>112</v>
      </c>
      <c r="B41" s="2" t="s">
        <v>91</v>
      </c>
      <c r="C41" s="1">
        <v>4</v>
      </c>
      <c r="D41" s="4" t="str">
        <f t="shared" si="1"/>
        <v>TRUE</v>
      </c>
      <c r="E41">
        <f t="shared" si="2"/>
        <v>0</v>
      </c>
      <c r="F41" s="4">
        <f t="shared" si="3"/>
        <v>0</v>
      </c>
      <c r="G41" s="4">
        <f t="shared" si="4"/>
        <v>0.2</v>
      </c>
      <c r="H41" s="4">
        <f t="shared" si="5"/>
        <v>0.1</v>
      </c>
      <c r="I41" s="4">
        <f t="shared" si="6"/>
        <v>0</v>
      </c>
      <c r="J41" s="4">
        <f t="shared" si="7"/>
        <v>0</v>
      </c>
      <c r="K41" s="4">
        <f t="shared" si="8"/>
        <v>1</v>
      </c>
      <c r="L41" s="4">
        <f t="shared" si="9"/>
        <v>1</v>
      </c>
      <c r="M41" s="4">
        <f t="shared" si="10"/>
        <v>0.25</v>
      </c>
    </row>
    <row r="42" spans="1:13">
      <c r="A42" s="1" t="s">
        <v>94</v>
      </c>
      <c r="B42" s="2" t="s">
        <v>95</v>
      </c>
      <c r="C42" s="1">
        <v>5</v>
      </c>
      <c r="D42" s="4" t="str">
        <f t="shared" si="1"/>
        <v>TRUE</v>
      </c>
      <c r="E42">
        <f t="shared" si="2"/>
        <v>0</v>
      </c>
      <c r="F42" s="4">
        <f t="shared" si="3"/>
        <v>0</v>
      </c>
      <c r="G42" s="4">
        <f t="shared" si="4"/>
        <v>0.2</v>
      </c>
      <c r="H42" s="4">
        <f t="shared" si="5"/>
        <v>0.1</v>
      </c>
      <c r="I42" s="4">
        <f t="shared" si="6"/>
        <v>0</v>
      </c>
      <c r="J42" s="4">
        <f t="shared" si="7"/>
        <v>0</v>
      </c>
      <c r="K42" s="4">
        <f t="shared" si="8"/>
        <v>1</v>
      </c>
      <c r="L42" s="4">
        <f t="shared" si="9"/>
        <v>1</v>
      </c>
      <c r="M42" s="4">
        <f t="shared" si="10"/>
        <v>0.2</v>
      </c>
    </row>
    <row r="43" spans="1:13">
      <c r="A43" s="1" t="s">
        <v>98</v>
      </c>
      <c r="B43" s="2" t="s">
        <v>99</v>
      </c>
      <c r="C43" s="1">
        <v>6</v>
      </c>
      <c r="D43" s="4" t="str">
        <f t="shared" si="1"/>
        <v>TRUE</v>
      </c>
      <c r="E43">
        <f t="shared" si="2"/>
        <v>0</v>
      </c>
      <c r="F43" s="4">
        <f t="shared" si="3"/>
        <v>0</v>
      </c>
      <c r="G43" s="4">
        <f t="shared" si="4"/>
        <v>0</v>
      </c>
      <c r="H43" s="4">
        <f t="shared" si="5"/>
        <v>0.1</v>
      </c>
      <c r="I43" s="4">
        <f t="shared" si="6"/>
        <v>0</v>
      </c>
      <c r="J43" s="4">
        <f t="shared" si="7"/>
        <v>0</v>
      </c>
      <c r="K43" s="4">
        <f t="shared" si="8"/>
        <v>0</v>
      </c>
      <c r="L43" s="4">
        <f t="shared" si="9"/>
        <v>1</v>
      </c>
      <c r="M43" s="4">
        <f t="shared" si="10"/>
        <v>0.16666666666666666</v>
      </c>
    </row>
    <row r="44" spans="1:13">
      <c r="A44" s="1" t="s">
        <v>96</v>
      </c>
      <c r="B44" s="2" t="s">
        <v>97</v>
      </c>
      <c r="C44" s="1">
        <v>6</v>
      </c>
      <c r="D44" s="4" t="str">
        <f t="shared" si="1"/>
        <v>TRUE</v>
      </c>
      <c r="E44">
        <f t="shared" si="2"/>
        <v>0</v>
      </c>
      <c r="F44" s="4">
        <f t="shared" si="3"/>
        <v>0</v>
      </c>
      <c r="G44" s="4">
        <f t="shared" si="4"/>
        <v>0</v>
      </c>
      <c r="H44" s="4">
        <f t="shared" si="5"/>
        <v>0.1</v>
      </c>
      <c r="I44" s="4">
        <f t="shared" si="6"/>
        <v>0</v>
      </c>
      <c r="J44" s="4">
        <f t="shared" si="7"/>
        <v>0</v>
      </c>
      <c r="K44" s="4">
        <f t="shared" si="8"/>
        <v>0</v>
      </c>
      <c r="L44" s="4">
        <f t="shared" si="9"/>
        <v>1</v>
      </c>
      <c r="M44" s="4">
        <f t="shared" si="10"/>
        <v>0.16666666666666666</v>
      </c>
    </row>
    <row r="45" spans="1:13">
      <c r="A45" s="1" t="s">
        <v>102</v>
      </c>
      <c r="B45" s="2" t="s">
        <v>103</v>
      </c>
      <c r="C45" s="1">
        <v>7</v>
      </c>
      <c r="D45" s="4" t="str">
        <f t="shared" si="1"/>
        <v>TRUE</v>
      </c>
      <c r="E45">
        <f t="shared" si="2"/>
        <v>0</v>
      </c>
      <c r="F45" s="4">
        <f t="shared" si="3"/>
        <v>0</v>
      </c>
      <c r="G45" s="4">
        <f t="shared" si="4"/>
        <v>0</v>
      </c>
      <c r="H45" s="4">
        <f t="shared" si="5"/>
        <v>0.1</v>
      </c>
      <c r="I45" s="4">
        <f t="shared" si="6"/>
        <v>0</v>
      </c>
      <c r="J45" s="4">
        <f t="shared" si="7"/>
        <v>0</v>
      </c>
      <c r="K45" s="4">
        <f t="shared" si="8"/>
        <v>0</v>
      </c>
      <c r="L45" s="4">
        <f t="shared" si="9"/>
        <v>1</v>
      </c>
      <c r="M45" s="4">
        <f t="shared" si="10"/>
        <v>0.14285714285714285</v>
      </c>
    </row>
    <row r="46" spans="1:13">
      <c r="A46" s="1" t="s">
        <v>100</v>
      </c>
      <c r="B46" s="2" t="s">
        <v>101</v>
      </c>
      <c r="C46" s="1">
        <v>7</v>
      </c>
      <c r="D46" s="4" t="str">
        <f t="shared" si="1"/>
        <v>TRUE</v>
      </c>
      <c r="E46">
        <f t="shared" si="2"/>
        <v>0</v>
      </c>
      <c r="F46" s="4">
        <f t="shared" si="3"/>
        <v>0</v>
      </c>
      <c r="G46" s="4">
        <f t="shared" si="4"/>
        <v>0</v>
      </c>
      <c r="H46" s="4">
        <f t="shared" si="5"/>
        <v>0.1</v>
      </c>
      <c r="I46" s="4">
        <f t="shared" si="6"/>
        <v>0</v>
      </c>
      <c r="J46" s="4">
        <f t="shared" si="7"/>
        <v>0</v>
      </c>
      <c r="K46" s="4">
        <f t="shared" si="8"/>
        <v>0</v>
      </c>
      <c r="L46" s="4">
        <f t="shared" si="9"/>
        <v>1</v>
      </c>
      <c r="M46" s="4">
        <f t="shared" si="10"/>
        <v>0.14285714285714285</v>
      </c>
    </row>
    <row r="47" spans="1:13">
      <c r="A47" s="1" t="s">
        <v>104</v>
      </c>
      <c r="B47" s="2" t="s">
        <v>105</v>
      </c>
      <c r="C47" s="1">
        <v>8</v>
      </c>
      <c r="D47" s="4" t="str">
        <f t="shared" si="1"/>
        <v>TRUE</v>
      </c>
      <c r="E47">
        <f t="shared" si="2"/>
        <v>0</v>
      </c>
      <c r="F47" s="4">
        <f t="shared" si="3"/>
        <v>0</v>
      </c>
      <c r="G47" s="4">
        <f t="shared" si="4"/>
        <v>0</v>
      </c>
      <c r="H47" s="4">
        <f t="shared" si="5"/>
        <v>0.1</v>
      </c>
      <c r="I47" s="4">
        <f t="shared" si="6"/>
        <v>0</v>
      </c>
      <c r="J47" s="4">
        <f t="shared" si="7"/>
        <v>0</v>
      </c>
      <c r="K47" s="4">
        <f t="shared" si="8"/>
        <v>0</v>
      </c>
      <c r="L47" s="4">
        <f t="shared" si="9"/>
        <v>1</v>
      </c>
      <c r="M47" s="4">
        <f t="shared" si="10"/>
        <v>0.125</v>
      </c>
    </row>
    <row r="48" spans="1:13">
      <c r="A48" s="1" t="s">
        <v>106</v>
      </c>
      <c r="B48" s="2" t="s">
        <v>107</v>
      </c>
      <c r="C48" s="1">
        <v>9</v>
      </c>
      <c r="D48" s="4" t="str">
        <f t="shared" si="1"/>
        <v>TRUE</v>
      </c>
      <c r="E48">
        <f t="shared" si="2"/>
        <v>0</v>
      </c>
      <c r="F48" s="4">
        <f t="shared" si="3"/>
        <v>0</v>
      </c>
      <c r="G48" s="4">
        <f t="shared" si="4"/>
        <v>0</v>
      </c>
      <c r="H48" s="4">
        <f t="shared" si="5"/>
        <v>0.1</v>
      </c>
      <c r="I48" s="4">
        <f t="shared" si="6"/>
        <v>0</v>
      </c>
      <c r="J48" s="4">
        <f t="shared" si="7"/>
        <v>0</v>
      </c>
      <c r="K48" s="4">
        <f t="shared" si="8"/>
        <v>0</v>
      </c>
      <c r="L48" s="4">
        <f t="shared" si="9"/>
        <v>1</v>
      </c>
      <c r="M48" s="4">
        <f t="shared" si="10"/>
        <v>0.1111111111111111</v>
      </c>
    </row>
    <row r="49" spans="1:13">
      <c r="A49" s="1" t="s">
        <v>3</v>
      </c>
      <c r="B49" s="2" t="s">
        <v>4</v>
      </c>
      <c r="C49" s="1">
        <v>10</v>
      </c>
      <c r="D49" s="4" t="str">
        <f t="shared" si="1"/>
        <v>TRUE</v>
      </c>
      <c r="E49">
        <f t="shared" si="2"/>
        <v>0</v>
      </c>
      <c r="F49" s="4">
        <f t="shared" si="3"/>
        <v>0</v>
      </c>
      <c r="G49" s="4">
        <f t="shared" si="4"/>
        <v>0</v>
      </c>
      <c r="H49" s="4">
        <f t="shared" si="5"/>
        <v>0.1</v>
      </c>
      <c r="I49" s="4">
        <f t="shared" si="6"/>
        <v>0</v>
      </c>
      <c r="J49" s="4">
        <f t="shared" si="7"/>
        <v>0</v>
      </c>
      <c r="K49" s="4">
        <f t="shared" si="8"/>
        <v>0</v>
      </c>
      <c r="L49" s="4">
        <f t="shared" si="9"/>
        <v>1</v>
      </c>
      <c r="M49" s="4">
        <f t="shared" si="10"/>
        <v>0.1</v>
      </c>
    </row>
    <row r="50" spans="1:13">
      <c r="A50" s="1" t="s">
        <v>7</v>
      </c>
      <c r="B50" s="2" t="s">
        <v>8</v>
      </c>
      <c r="C50" s="1">
        <v>11</v>
      </c>
      <c r="D50" s="4" t="str">
        <f t="shared" si="1"/>
        <v>TRUE</v>
      </c>
      <c r="E50">
        <f t="shared" si="2"/>
        <v>0</v>
      </c>
      <c r="F50" s="4">
        <f t="shared" si="3"/>
        <v>0</v>
      </c>
      <c r="G50" s="4">
        <f t="shared" si="4"/>
        <v>0</v>
      </c>
      <c r="H50" s="4">
        <f t="shared" si="5"/>
        <v>0</v>
      </c>
      <c r="I50" s="4">
        <f t="shared" si="6"/>
        <v>0</v>
      </c>
      <c r="J50" s="4">
        <f t="shared" si="7"/>
        <v>0</v>
      </c>
      <c r="K50" s="4">
        <f t="shared" si="8"/>
        <v>0</v>
      </c>
      <c r="L50" s="4">
        <f t="shared" si="9"/>
        <v>0</v>
      </c>
      <c r="M50" s="4">
        <f t="shared" si="10"/>
        <v>9.0909090909090912E-2</v>
      </c>
    </row>
    <row r="51" spans="1:13">
      <c r="A51" s="1" t="s">
        <v>5</v>
      </c>
      <c r="B51" s="2" t="s">
        <v>6</v>
      </c>
      <c r="C51" s="1">
        <v>11</v>
      </c>
      <c r="D51" s="4" t="str">
        <f t="shared" si="1"/>
        <v>TRUE</v>
      </c>
      <c r="E51">
        <f t="shared" si="2"/>
        <v>0</v>
      </c>
      <c r="F51" s="4">
        <f t="shared" si="3"/>
        <v>0</v>
      </c>
      <c r="G51" s="4">
        <f t="shared" si="4"/>
        <v>0</v>
      </c>
      <c r="H51" s="4">
        <f t="shared" si="5"/>
        <v>0</v>
      </c>
      <c r="I51" s="4">
        <f t="shared" si="6"/>
        <v>0</v>
      </c>
      <c r="J51" s="4">
        <f t="shared" si="7"/>
        <v>0</v>
      </c>
      <c r="K51" s="4">
        <f t="shared" si="8"/>
        <v>0</v>
      </c>
      <c r="L51" s="4">
        <f t="shared" si="9"/>
        <v>0</v>
      </c>
      <c r="M51" s="4">
        <f t="shared" si="10"/>
        <v>9.0909090909090912E-2</v>
      </c>
    </row>
    <row r="52" spans="1:13">
      <c r="A52" s="1" t="s">
        <v>9</v>
      </c>
      <c r="B52" s="2" t="s">
        <v>10</v>
      </c>
      <c r="C52" s="1">
        <v>14</v>
      </c>
      <c r="D52" s="4" t="str">
        <f t="shared" si="1"/>
        <v>TRUE</v>
      </c>
      <c r="E52">
        <f t="shared" si="2"/>
        <v>0</v>
      </c>
      <c r="F52" s="4">
        <f t="shared" si="3"/>
        <v>0</v>
      </c>
      <c r="G52" s="4">
        <f t="shared" si="4"/>
        <v>0</v>
      </c>
      <c r="H52" s="4">
        <f t="shared" si="5"/>
        <v>0</v>
      </c>
      <c r="I52" s="4">
        <f t="shared" si="6"/>
        <v>0</v>
      </c>
      <c r="J52" s="4">
        <f t="shared" si="7"/>
        <v>0</v>
      </c>
      <c r="K52" s="4">
        <f t="shared" si="8"/>
        <v>0</v>
      </c>
      <c r="L52" s="4">
        <f t="shared" si="9"/>
        <v>0</v>
      </c>
      <c r="M52" s="4">
        <f t="shared" si="10"/>
        <v>7.1428571428571425E-2</v>
      </c>
    </row>
    <row r="53" spans="1:13">
      <c r="A53" s="1" t="s">
        <v>77</v>
      </c>
      <c r="B53" s="2" t="s">
        <v>78</v>
      </c>
      <c r="C53" s="1"/>
      <c r="D53" s="4" t="str">
        <f t="shared" si="1"/>
        <v>FALSE</v>
      </c>
      <c r="E53">
        <f t="shared" si="2"/>
        <v>0</v>
      </c>
      <c r="F53" s="4">
        <f t="shared" si="3"/>
        <v>0</v>
      </c>
      <c r="G53" s="4">
        <f t="shared" si="4"/>
        <v>0</v>
      </c>
      <c r="H53" s="4">
        <f t="shared" si="5"/>
        <v>0</v>
      </c>
      <c r="I53" s="4">
        <f t="shared" si="6"/>
        <v>0</v>
      </c>
      <c r="J53" s="4">
        <f t="shared" si="7"/>
        <v>0</v>
      </c>
      <c r="K53" s="4">
        <f t="shared" si="8"/>
        <v>0</v>
      </c>
      <c r="L53" s="4">
        <f t="shared" si="9"/>
        <v>0</v>
      </c>
      <c r="M53" s="4">
        <f t="shared" si="10"/>
        <v>0</v>
      </c>
    </row>
    <row r="54" spans="1:13">
      <c r="A54" s="1" t="s">
        <v>110</v>
      </c>
      <c r="B54" s="2" t="s">
        <v>111</v>
      </c>
      <c r="C54" s="1"/>
      <c r="D54" s="4" t="str">
        <f t="shared" si="1"/>
        <v>FALSE</v>
      </c>
      <c r="E54">
        <f t="shared" si="2"/>
        <v>0</v>
      </c>
      <c r="F54" s="4">
        <f t="shared" si="3"/>
        <v>0</v>
      </c>
      <c r="G54" s="4">
        <f t="shared" si="4"/>
        <v>0</v>
      </c>
      <c r="H54" s="4">
        <f t="shared" si="5"/>
        <v>0</v>
      </c>
      <c r="I54" s="4">
        <f t="shared" si="6"/>
        <v>0</v>
      </c>
      <c r="J54" s="4">
        <f t="shared" si="7"/>
        <v>0</v>
      </c>
      <c r="K54" s="4">
        <f t="shared" si="8"/>
        <v>0</v>
      </c>
      <c r="L54" s="4">
        <f t="shared" si="9"/>
        <v>0</v>
      </c>
      <c r="M54" s="4">
        <f t="shared" si="10"/>
        <v>0</v>
      </c>
    </row>
    <row r="55" spans="1:13">
      <c r="A55" s="1" t="s">
        <v>108</v>
      </c>
      <c r="B55" s="2" t="s">
        <v>109</v>
      </c>
      <c r="C55" s="1"/>
      <c r="D55" s="4" t="str">
        <f t="shared" si="1"/>
        <v>FALSE</v>
      </c>
      <c r="E55">
        <f t="shared" si="2"/>
        <v>0</v>
      </c>
      <c r="F55" s="4">
        <f t="shared" si="3"/>
        <v>0</v>
      </c>
      <c r="G55" s="4">
        <f t="shared" si="4"/>
        <v>0</v>
      </c>
      <c r="H55" s="4">
        <f t="shared" si="5"/>
        <v>0</v>
      </c>
      <c r="I55" s="4">
        <f t="shared" si="6"/>
        <v>0</v>
      </c>
      <c r="J55" s="4">
        <f t="shared" si="7"/>
        <v>0</v>
      </c>
      <c r="K55" s="4">
        <f t="shared" si="8"/>
        <v>0</v>
      </c>
      <c r="L55" s="4">
        <f t="shared" si="9"/>
        <v>0</v>
      </c>
      <c r="M55" s="4">
        <f t="shared" si="10"/>
        <v>0</v>
      </c>
    </row>
    <row r="56" spans="1:13">
      <c r="A56" s="1" t="s">
        <v>79</v>
      </c>
      <c r="B56" s="2" t="s">
        <v>80</v>
      </c>
      <c r="C56" s="1"/>
      <c r="D56" s="4" t="str">
        <f t="shared" si="1"/>
        <v>FALSE</v>
      </c>
      <c r="E56">
        <f t="shared" si="2"/>
        <v>0</v>
      </c>
      <c r="F56" s="4">
        <f t="shared" si="3"/>
        <v>0</v>
      </c>
      <c r="G56" s="4">
        <f t="shared" si="4"/>
        <v>0</v>
      </c>
      <c r="H56" s="4">
        <f t="shared" si="5"/>
        <v>0</v>
      </c>
      <c r="I56" s="4">
        <f t="shared" si="6"/>
        <v>0</v>
      </c>
      <c r="J56" s="4">
        <f t="shared" si="7"/>
        <v>0</v>
      </c>
      <c r="K56" s="4">
        <f t="shared" si="8"/>
        <v>0</v>
      </c>
      <c r="L56" s="4">
        <f t="shared" si="9"/>
        <v>0</v>
      </c>
      <c r="M56" s="4">
        <f t="shared" si="10"/>
        <v>0</v>
      </c>
    </row>
  </sheetData>
  <autoFilter ref="A1:C56" xr:uid="{00000000-0001-0000-0000-000000000000}">
    <sortState xmlns:xlrd2="http://schemas.microsoft.com/office/spreadsheetml/2017/richdata2" ref="A2:C56">
      <sortCondition ref="C1:C56"/>
    </sortState>
  </autoFilter>
  <hyperlinks>
    <hyperlink ref="B49" r:id="rId1" xr:uid="{00000000-0004-0000-0000-000000000000}"/>
    <hyperlink ref="B51" r:id="rId2" xr:uid="{00000000-0004-0000-0000-000001000000}"/>
    <hyperlink ref="B50" r:id="rId3" xr:uid="{00000000-0004-0000-0000-000002000000}"/>
    <hyperlink ref="B52" r:id="rId4" xr:uid="{00000000-0004-0000-0000-000003000000}"/>
    <hyperlink ref="B3" r:id="rId5" xr:uid="{00000000-0004-0000-0000-000004000000}"/>
    <hyperlink ref="B20" r:id="rId6" xr:uid="{00000000-0004-0000-0000-000005000000}"/>
    <hyperlink ref="B13" r:id="rId7" xr:uid="{00000000-0004-0000-0000-000006000000}"/>
    <hyperlink ref="B21" r:id="rId8" xr:uid="{00000000-0004-0000-0000-000007000000}"/>
    <hyperlink ref="B2" r:id="rId9" xr:uid="{00000000-0004-0000-0000-000008000000}"/>
    <hyperlink ref="B14" r:id="rId10" xr:uid="{00000000-0004-0000-0000-000009000000}"/>
    <hyperlink ref="B12" r:id="rId11" xr:uid="{00000000-0004-0000-0000-00000A000000}"/>
    <hyperlink ref="B7" r:id="rId12" xr:uid="{00000000-0004-0000-0000-00000B000000}"/>
    <hyperlink ref="B22" r:id="rId13" xr:uid="{00000000-0004-0000-0000-00000C000000}"/>
    <hyperlink ref="B17" r:id="rId14" xr:uid="{00000000-0004-0000-0000-00000D000000}"/>
    <hyperlink ref="B19" r:id="rId15" xr:uid="{00000000-0004-0000-0000-00000E000000}"/>
    <hyperlink ref="B15" r:id="rId16" xr:uid="{00000000-0004-0000-0000-00000F000000}"/>
    <hyperlink ref="B24" r:id="rId17" xr:uid="{00000000-0004-0000-0000-000010000000}"/>
    <hyperlink ref="B16" r:id="rId18" xr:uid="{00000000-0004-0000-0000-000011000000}"/>
    <hyperlink ref="B8" r:id="rId19" xr:uid="{00000000-0004-0000-0000-000012000000}"/>
    <hyperlink ref="B23" r:id="rId20" xr:uid="{00000000-0004-0000-0000-000013000000}"/>
    <hyperlink ref="B18" r:id="rId21" xr:uid="{00000000-0004-0000-0000-000014000000}"/>
    <hyperlink ref="B25" r:id="rId22" xr:uid="{00000000-0004-0000-0000-000015000000}"/>
    <hyperlink ref="B6" r:id="rId23" xr:uid="{00000000-0004-0000-0000-000016000000}"/>
    <hyperlink ref="B10" r:id="rId24" xr:uid="{00000000-0004-0000-0000-000017000000}"/>
    <hyperlink ref="B5" r:id="rId25" xr:uid="{00000000-0004-0000-0000-000018000000}"/>
    <hyperlink ref="B11" r:id="rId26" xr:uid="{00000000-0004-0000-0000-000019000000}"/>
    <hyperlink ref="B9" r:id="rId27" xr:uid="{00000000-0004-0000-0000-00001A000000}"/>
    <hyperlink ref="B4" r:id="rId28" xr:uid="{00000000-0004-0000-0000-00001B000000}"/>
    <hyperlink ref="B28" r:id="rId29" xr:uid="{00000000-0004-0000-0000-00001C000000}"/>
    <hyperlink ref="B27" r:id="rId30" xr:uid="{00000000-0004-0000-0000-00001D000000}"/>
    <hyperlink ref="B33" r:id="rId31" xr:uid="{00000000-0004-0000-0000-00001E000000}"/>
    <hyperlink ref="B30" r:id="rId32" xr:uid="{00000000-0004-0000-0000-00001F000000}"/>
    <hyperlink ref="B32" r:id="rId33" xr:uid="{00000000-0004-0000-0000-000020000000}"/>
    <hyperlink ref="B31" r:id="rId34" xr:uid="{00000000-0004-0000-0000-000021000000}"/>
    <hyperlink ref="B34" r:id="rId35" xr:uid="{00000000-0004-0000-0000-000022000000}"/>
    <hyperlink ref="B26" r:id="rId36" xr:uid="{00000000-0004-0000-0000-000023000000}"/>
    <hyperlink ref="B29" r:id="rId37" xr:uid="{00000000-0004-0000-0000-000024000000}"/>
    <hyperlink ref="B53" r:id="rId38" xr:uid="{00000000-0004-0000-0000-000025000000}"/>
    <hyperlink ref="B56" r:id="rId39" xr:uid="{00000000-0004-0000-0000-000026000000}"/>
    <hyperlink ref="B38" r:id="rId40" xr:uid="{00000000-0004-0000-0000-000027000000}"/>
    <hyperlink ref="B36" r:id="rId41" xr:uid="{00000000-0004-0000-0000-000028000000}"/>
    <hyperlink ref="B39" r:id="rId42" xr:uid="{00000000-0004-0000-0000-000029000000}"/>
    <hyperlink ref="B35" r:id="rId43" xr:uid="{00000000-0004-0000-0000-00002A000000}"/>
    <hyperlink ref="B37" r:id="rId44" xr:uid="{00000000-0004-0000-0000-00002B000000}"/>
    <hyperlink ref="B41" r:id="rId45" xr:uid="{00000000-0004-0000-0000-00002C000000}"/>
    <hyperlink ref="B40" r:id="rId46" xr:uid="{00000000-0004-0000-0000-00002D000000}"/>
    <hyperlink ref="B42" r:id="rId47" xr:uid="{00000000-0004-0000-0000-00002E000000}"/>
    <hyperlink ref="B44" r:id="rId48" xr:uid="{00000000-0004-0000-0000-00002F000000}"/>
    <hyperlink ref="B43" r:id="rId49" xr:uid="{00000000-0004-0000-0000-000030000000}"/>
    <hyperlink ref="B46" r:id="rId50" xr:uid="{00000000-0004-0000-0000-000031000000}"/>
    <hyperlink ref="B45" r:id="rId51" xr:uid="{00000000-0004-0000-0000-000032000000}"/>
    <hyperlink ref="B47" r:id="rId52" xr:uid="{00000000-0004-0000-0000-000033000000}"/>
    <hyperlink ref="B48" r:id="rId53" xr:uid="{00000000-0004-0000-0000-000034000000}"/>
    <hyperlink ref="B55" r:id="rId54" xr:uid="{00000000-0004-0000-0000-000035000000}"/>
    <hyperlink ref="B54" r:id="rId55" xr:uid="{00000000-0004-0000-0000-000036000000}"/>
    <hyperlink ref="E1" r:id="rId56" xr:uid="{AFC12061-986B-4CB3-9242-57D78EC355CE}"/>
    <hyperlink ref="F1" r:id="rId57" xr:uid="{9F809690-6B28-4950-ACA4-62B413C6C7BD}"/>
    <hyperlink ref="G1" r:id="rId58" xr:uid="{17F09956-2A94-44D7-9F10-6818AF560EBD}"/>
    <hyperlink ref="H1" r:id="rId59" xr:uid="{AB05743D-16FC-49D8-BC3D-2306D128C727}"/>
    <hyperlink ref="I1" r:id="rId60" xr:uid="{6C05CB99-C387-43E4-9623-3ABA45DF61D9}"/>
    <hyperlink ref="J1" r:id="rId61" xr:uid="{897C3453-B853-4783-8166-714D7F233093}"/>
    <hyperlink ref="K1" r:id="rId62" xr:uid="{A88AF2AD-17FF-49B6-B8FC-FDDFB27E0174}"/>
    <hyperlink ref="L1" r:id="rId63" xr:uid="{8206C541-0BFD-4D80-9FCB-787DF9179C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Hughes, Tyler</cp:lastModifiedBy>
  <dcterms:modified xsi:type="dcterms:W3CDTF">2025-11-14T15:48:52Z</dcterms:modified>
</cp:coreProperties>
</file>